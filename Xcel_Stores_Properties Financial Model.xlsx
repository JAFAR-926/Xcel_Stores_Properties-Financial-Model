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trlProps/ctrlProp2.xml" ContentType="application/vnd.ms-excel.controlproperties+xml"/>
  <Override PartName="/xl/drawings/drawing3.xml" ContentType="application/vnd.openxmlformats-officedocument.drawing+xml"/>
  <Override PartName="/xl/ctrlProps/ctrlProp3.xml" ContentType="application/vnd.ms-excel.controlpropertie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AZY BEST\Downloads\"/>
    </mc:Choice>
  </mc:AlternateContent>
  <xr:revisionPtr revIDLastSave="0" documentId="13_ncr:1_{CB4262B1-1129-4B33-87C5-8AFCDCBEA764}" xr6:coauthVersionLast="47" xr6:coauthVersionMax="47" xr10:uidLastSave="{00000000-0000-0000-0000-000000000000}"/>
  <bookViews>
    <workbookView xWindow="-104" yWindow="-104" windowWidth="22326" windowHeight="11924" activeTab="5" xr2:uid="{39751999-E243-44A5-83AF-58DFDCBAD556}"/>
  </bookViews>
  <sheets>
    <sheet name="Cover" sheetId="2" r:id="rId1"/>
    <sheet name="Historical" sheetId="1" r:id="rId2"/>
    <sheet name="Summary" sheetId="5" r:id="rId3"/>
    <sheet name="Assumptions" sheetId="3" r:id="rId4"/>
    <sheet name="Scenario" sheetId="4" r:id="rId5"/>
    <sheet name="Model" sheetId="7" r:id="rId6"/>
    <sheet name="Template" sheetId="8" r:id="rId7"/>
  </sheets>
  <definedNames>
    <definedName name="BalCheck">Model!$G$115</definedName>
    <definedName name="Circularity">Cover!$C$14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NAMES_REVISION_DATE_" hidden="1">40869.3787037037</definedName>
    <definedName name="IQ_NTM" hidden="1">6000</definedName>
    <definedName name="IQ_OPENED55" hidden="1">1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IQRA8" hidden="1">"$A$9:$A$261"</definedName>
    <definedName name="IQRB8" hidden="1">"$B$9:$B$261"</definedName>
    <definedName name="IQRC8" hidden="1">"$C$9:$C$261"</definedName>
    <definedName name="Million">Assumptions!$F$9</definedName>
    <definedName name="_xlnm.Print_Area" localSheetId="0">Cover!$A$3:$M$26</definedName>
    <definedName name="_xlnm.Print_Titles" localSheetId="3">Assumptions!$1:$5</definedName>
    <definedName name="_xlnm.Print_Titles" localSheetId="5">Model!$1:$5</definedName>
    <definedName name="_xlnm.Print_Titles" localSheetId="4">Scenario!$1:$5</definedName>
    <definedName name="_xlnm.Print_Titles" localSheetId="2">Summary!$1:$5</definedName>
    <definedName name="_xlnm.Print_Titles" localSheetId="6">Template!$1:$5</definedName>
    <definedName name="S_List">Scenario!$D$12:$D$14</definedName>
    <definedName name="S_Scenario">Scenario!$F$9</definedName>
  </definedName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69" i="7" l="1"/>
  <c r="M169" i="7"/>
  <c r="L169" i="7"/>
  <c r="K168" i="7"/>
  <c r="L141" i="7"/>
  <c r="L143" i="7"/>
  <c r="F127" i="7"/>
  <c r="F126" i="7" l="1"/>
  <c r="F128" i="7"/>
  <c r="J24" i="7"/>
  <c r="M23" i="7"/>
  <c r="N23" i="7"/>
  <c r="O23" i="7"/>
  <c r="P23" i="7"/>
  <c r="L23" i="7"/>
  <c r="D115" i="3"/>
  <c r="E130" i="7"/>
  <c r="D137" i="7"/>
  <c r="D130" i="7"/>
  <c r="D138" i="7"/>
  <c r="F125" i="7"/>
  <c r="E125" i="7"/>
  <c r="D125" i="7"/>
  <c r="F122" i="7"/>
  <c r="F124" i="7" s="1"/>
  <c r="E123" i="7"/>
  <c r="D123" i="7"/>
  <c r="F123" i="7"/>
  <c r="E122" i="7"/>
  <c r="E121" i="7"/>
  <c r="F121" i="7"/>
  <c r="D122" i="7"/>
  <c r="D121" i="7"/>
  <c r="E139" i="7"/>
  <c r="D139" i="7"/>
  <c r="D141" i="7"/>
  <c r="K141" i="7"/>
  <c r="K135" i="7" l="1"/>
  <c r="L133" i="7" s="1"/>
  <c r="R96" i="5" l="1"/>
  <c r="R84" i="5"/>
  <c r="R95" i="5"/>
  <c r="R83" i="5"/>
  <c r="R94" i="5"/>
  <c r="R80" i="5"/>
  <c r="R93" i="5"/>
  <c r="R79" i="5"/>
  <c r="R90" i="5"/>
  <c r="R89" i="5"/>
  <c r="R88" i="5"/>
  <c r="R85" i="5"/>
  <c r="B76" i="5" l="1" a="1"/>
  <c r="B76" i="5" s="1"/>
  <c r="E183" i="7"/>
  <c r="R235" i="7"/>
  <c r="R383" i="7"/>
  <c r="R265" i="7"/>
  <c r="R105" i="7"/>
  <c r="R306" i="7"/>
  <c r="R39" i="7"/>
  <c r="R359" i="7"/>
  <c r="R222" i="7"/>
  <c r="R81" i="7"/>
  <c r="R191" i="7"/>
  <c r="R201" i="7"/>
  <c r="R308" i="7"/>
  <c r="R170" i="7"/>
  <c r="R47" i="7"/>
  <c r="R182" i="7"/>
  <c r="R365" i="7"/>
  <c r="R244" i="7"/>
  <c r="R88" i="7"/>
  <c r="R241" i="7"/>
  <c r="R141" i="7"/>
  <c r="R255" i="7"/>
  <c r="R361" i="7"/>
  <c r="R224" i="7"/>
  <c r="R84" i="7"/>
  <c r="R206" i="7"/>
  <c r="R11" i="7"/>
  <c r="R336" i="7"/>
  <c r="R175" i="7"/>
  <c r="R137" i="7"/>
  <c r="R364" i="7"/>
  <c r="R234" i="7"/>
  <c r="R372" i="7"/>
  <c r="R247" i="7"/>
  <c r="R95" i="7"/>
  <c r="R219" i="7"/>
  <c r="R351" i="7"/>
  <c r="R343" i="7"/>
  <c r="R210" i="7"/>
  <c r="R68" i="7"/>
  <c r="R87" i="7"/>
  <c r="R72" i="7"/>
  <c r="R292" i="7"/>
  <c r="R150" i="7"/>
  <c r="R31" i="7"/>
  <c r="R73" i="7"/>
  <c r="R355" i="7"/>
  <c r="R220" i="7"/>
  <c r="R79" i="7"/>
  <c r="R100" i="7"/>
  <c r="R51" i="7"/>
  <c r="R146" i="7"/>
  <c r="R346" i="7"/>
  <c r="R212" i="7"/>
  <c r="R71" i="7"/>
  <c r="R65" i="7"/>
  <c r="R288" i="7"/>
  <c r="R362" i="7"/>
  <c r="R50" i="7"/>
  <c r="R94" i="7"/>
  <c r="R197" i="7"/>
  <c r="R101" i="7"/>
  <c r="R96" i="7"/>
  <c r="R233" i="7"/>
  <c r="R360" i="7"/>
  <c r="R223" i="7"/>
  <c r="R82" i="7"/>
  <c r="R110" i="7"/>
  <c r="R270" i="7"/>
  <c r="R324" i="7"/>
  <c r="R198" i="7"/>
  <c r="R58" i="7"/>
  <c r="R28" i="7"/>
  <c r="R14" i="7"/>
  <c r="R276" i="7"/>
  <c r="R113" i="7"/>
  <c r="R20" i="7"/>
  <c r="R15" i="7"/>
  <c r="R340" i="7"/>
  <c r="R208" i="7"/>
  <c r="R66" i="7"/>
  <c r="R334" i="7"/>
  <c r="R379" i="7"/>
  <c r="R52" i="7"/>
  <c r="R332" i="7"/>
  <c r="R200" i="7"/>
  <c r="R62" i="7"/>
  <c r="R352" i="7"/>
  <c r="R56" i="7"/>
  <c r="R315" i="7"/>
  <c r="R202" i="7"/>
  <c r="R109" i="7"/>
  <c r="R374" i="7"/>
  <c r="R260" i="7"/>
  <c r="R373" i="7"/>
  <c r="R353" i="7"/>
  <c r="R232" i="7"/>
  <c r="R344" i="7"/>
  <c r="R211" i="7"/>
  <c r="R69" i="7"/>
  <c r="R78" i="7"/>
  <c r="R164" i="7"/>
  <c r="R311" i="7"/>
  <c r="R173" i="7"/>
  <c r="R48" i="7"/>
  <c r="R363" i="7"/>
  <c r="R381" i="7"/>
  <c r="R261" i="7"/>
  <c r="R102" i="7"/>
  <c r="R289" i="7"/>
  <c r="R298" i="7"/>
  <c r="R322" i="7"/>
  <c r="R195" i="7"/>
  <c r="R231" i="7"/>
  <c r="R330" i="7"/>
  <c r="R199" i="7"/>
  <c r="R61" i="7"/>
  <c r="R17" i="7"/>
  <c r="R63" i="7"/>
  <c r="R294" i="7"/>
  <c r="R153" i="7"/>
  <c r="R33" i="7"/>
  <c r="R217" i="7"/>
  <c r="R366" i="7"/>
  <c r="R245" i="7"/>
  <c r="R90" i="7"/>
  <c r="R147" i="7"/>
  <c r="R285" i="7"/>
  <c r="R307" i="7"/>
  <c r="R169" i="7"/>
  <c r="R41" i="7"/>
  <c r="R165" i="7"/>
  <c r="R272" i="7"/>
  <c r="R254" i="7"/>
  <c r="R296" i="7"/>
  <c r="R155" i="7"/>
  <c r="R36" i="7"/>
  <c r="R86" i="7"/>
  <c r="R367" i="7"/>
  <c r="R271" i="7"/>
  <c r="R251" i="7"/>
  <c r="R229" i="7"/>
  <c r="R314" i="7"/>
  <c r="R174" i="7"/>
  <c r="R49" i="7"/>
  <c r="R376" i="7"/>
  <c r="R25" i="7"/>
  <c r="R277" i="7"/>
  <c r="R115" i="7"/>
  <c r="R21" i="7"/>
  <c r="R99" i="7"/>
  <c r="R358" i="7"/>
  <c r="R221" i="7"/>
  <c r="R80" i="7"/>
  <c r="R55" i="7"/>
  <c r="R177" i="7"/>
  <c r="R290" i="7"/>
  <c r="R149" i="7"/>
  <c r="R29" i="7"/>
  <c r="R64" i="7"/>
  <c r="R168" i="7"/>
  <c r="R108" i="7"/>
  <c r="R280" i="7"/>
  <c r="R138" i="7"/>
  <c r="R24" i="7"/>
  <c r="R333" i="7"/>
  <c r="R236" i="7"/>
  <c r="R279" i="7"/>
  <c r="R23" i="7"/>
  <c r="R259" i="7"/>
  <c r="R57" i="7"/>
  <c r="R213" i="7"/>
  <c r="R295" i="7"/>
  <c r="R154" i="7"/>
  <c r="R34" i="7"/>
  <c r="R240" i="7"/>
  <c r="R382" i="7"/>
  <c r="R264" i="7"/>
  <c r="R103" i="7"/>
  <c r="R321" i="7"/>
  <c r="R27" i="7"/>
  <c r="R342" i="7"/>
  <c r="R209" i="7"/>
  <c r="R67" i="7"/>
  <c r="R318" i="7"/>
  <c r="R85" i="7"/>
  <c r="R275" i="7"/>
  <c r="R111" i="7"/>
  <c r="R18" i="7"/>
  <c r="R316" i="7"/>
  <c r="R40" i="7"/>
  <c r="R38" i="7"/>
  <c r="R269" i="7"/>
  <c r="R107" i="7"/>
  <c r="R13" i="7"/>
  <c r="R239" i="7"/>
  <c r="R246" i="7"/>
  <c r="R323" i="7"/>
  <c r="R380" i="7"/>
  <c r="R303" i="7"/>
  <c r="R97" i="7"/>
  <c r="F370" i="7" l="1"/>
  <c r="E370" i="7"/>
  <c r="D370" i="7"/>
  <c r="F349" i="7"/>
  <c r="M340" i="7"/>
  <c r="N340" i="7"/>
  <c r="O340" i="7"/>
  <c r="P340" i="7"/>
  <c r="L340" i="7"/>
  <c r="E340" i="7"/>
  <c r="D340" i="7"/>
  <c r="D339" i="7"/>
  <c r="M330" i="7"/>
  <c r="N330" i="7"/>
  <c r="O330" i="7"/>
  <c r="P330" i="7"/>
  <c r="L330" i="7"/>
  <c r="E330" i="7"/>
  <c r="D330" i="7"/>
  <c r="F329" i="7"/>
  <c r="E329" i="7"/>
  <c r="D329" i="7"/>
  <c r="M68" i="7" l="1"/>
  <c r="M366" i="7" s="1"/>
  <c r="N68" i="7"/>
  <c r="N366" i="7" s="1"/>
  <c r="O68" i="7"/>
  <c r="O366" i="7" s="1"/>
  <c r="P68" i="7"/>
  <c r="P366" i="7" s="1"/>
  <c r="L68" i="7"/>
  <c r="L366" i="7" s="1"/>
  <c r="M56" i="7"/>
  <c r="N56" i="7"/>
  <c r="O56" i="7"/>
  <c r="P56" i="7"/>
  <c r="M57" i="7"/>
  <c r="N57" i="7"/>
  <c r="O57" i="7"/>
  <c r="P57" i="7"/>
  <c r="L57" i="7"/>
  <c r="L56" i="7"/>
  <c r="M51" i="7"/>
  <c r="N51" i="7"/>
  <c r="O51" i="7"/>
  <c r="P51" i="7"/>
  <c r="L51" i="7"/>
  <c r="M311" i="7"/>
  <c r="M315" i="7" s="1"/>
  <c r="M64" i="7" s="1"/>
  <c r="M362" i="7" s="1"/>
  <c r="N311" i="7"/>
  <c r="N315" i="7" s="1"/>
  <c r="N64" i="7" s="1"/>
  <c r="N362" i="7" s="1"/>
  <c r="O311" i="7"/>
  <c r="O315" i="7" s="1"/>
  <c r="O64" i="7" s="1"/>
  <c r="O362" i="7" s="1"/>
  <c r="P311" i="7"/>
  <c r="P315" i="7" s="1"/>
  <c r="P64" i="7" s="1"/>
  <c r="P362" i="7" s="1"/>
  <c r="L311" i="7"/>
  <c r="L315" i="7" s="1"/>
  <c r="F312" i="7"/>
  <c r="D312" i="7"/>
  <c r="C310" i="7"/>
  <c r="D311" i="7"/>
  <c r="M303" i="7"/>
  <c r="M307" i="7" s="1"/>
  <c r="M65" i="7" s="1"/>
  <c r="M363" i="7" s="1"/>
  <c r="N303" i="7"/>
  <c r="N307" i="7" s="1"/>
  <c r="N65" i="7" s="1"/>
  <c r="N363" i="7" s="1"/>
  <c r="O303" i="7"/>
  <c r="O307" i="7" s="1"/>
  <c r="O65" i="7" s="1"/>
  <c r="O363" i="7" s="1"/>
  <c r="P303" i="7"/>
  <c r="P307" i="7" s="1"/>
  <c r="P65" i="7" s="1"/>
  <c r="P363" i="7" s="1"/>
  <c r="L303" i="7"/>
  <c r="L307" i="7" s="1"/>
  <c r="L65" i="7" s="1"/>
  <c r="L363" i="7" s="1"/>
  <c r="F304" i="7"/>
  <c r="E304" i="7"/>
  <c r="D304" i="7"/>
  <c r="C302" i="7"/>
  <c r="D303" i="7"/>
  <c r="M285" i="7"/>
  <c r="M289" i="7" s="1"/>
  <c r="N285" i="7"/>
  <c r="N289" i="7" s="1"/>
  <c r="O285" i="7"/>
  <c r="O289" i="7" s="1"/>
  <c r="P285" i="7"/>
  <c r="P289" i="7" s="1"/>
  <c r="L285" i="7"/>
  <c r="L289" i="7" s="1"/>
  <c r="F284" i="7"/>
  <c r="E285" i="7"/>
  <c r="E284" i="7"/>
  <c r="D285" i="7"/>
  <c r="D289" i="7" s="1"/>
  <c r="D284" i="7"/>
  <c r="L64" i="7" l="1"/>
  <c r="L362" i="7" s="1"/>
  <c r="M295" i="7"/>
  <c r="M28" i="7" s="1"/>
  <c r="M49" i="7" s="1"/>
  <c r="O295" i="7"/>
  <c r="O28" i="7" s="1"/>
  <c r="O49" i="7" s="1"/>
  <c r="N295" i="7"/>
  <c r="N28" i="7" s="1"/>
  <c r="N49" i="7" s="1"/>
  <c r="P295" i="7"/>
  <c r="P28" i="7" s="1"/>
  <c r="P49" i="7" s="1"/>
  <c r="L295" i="7"/>
  <c r="L28" i="7" s="1"/>
  <c r="L49" i="7" s="1"/>
  <c r="M259" i="7" l="1"/>
  <c r="N259" i="7"/>
  <c r="O259" i="7"/>
  <c r="P259" i="7"/>
  <c r="M260" i="7"/>
  <c r="N260" i="7"/>
  <c r="O260" i="7"/>
  <c r="P260" i="7"/>
  <c r="M261" i="7"/>
  <c r="N261" i="7"/>
  <c r="O261" i="7"/>
  <c r="P261" i="7"/>
  <c r="M264" i="7"/>
  <c r="N264" i="7"/>
  <c r="O264" i="7"/>
  <c r="P264" i="7"/>
  <c r="M265" i="7"/>
  <c r="N265" i="7"/>
  <c r="O265" i="7"/>
  <c r="P265" i="7"/>
  <c r="L265" i="7"/>
  <c r="L264" i="7"/>
  <c r="L261" i="7"/>
  <c r="L260" i="7"/>
  <c r="L259" i="7"/>
  <c r="E265" i="7"/>
  <c r="E264" i="7"/>
  <c r="E261" i="7"/>
  <c r="E260" i="7"/>
  <c r="E259" i="7"/>
  <c r="C263" i="7"/>
  <c r="D265" i="7"/>
  <c r="D264" i="7"/>
  <c r="C258" i="7"/>
  <c r="D260" i="7"/>
  <c r="D261" i="7"/>
  <c r="D259" i="7"/>
  <c r="M17" i="7"/>
  <c r="N17" i="7"/>
  <c r="O17" i="7"/>
  <c r="P17" i="7"/>
  <c r="L17" i="7"/>
  <c r="D240" i="7"/>
  <c r="D239" i="7"/>
  <c r="F186" i="7"/>
  <c r="E190" i="7"/>
  <c r="M182" i="7"/>
  <c r="M229" i="7" s="1"/>
  <c r="N182" i="7"/>
  <c r="N229" i="7" s="1"/>
  <c r="O182" i="7"/>
  <c r="O229" i="7" s="1"/>
  <c r="P182" i="7"/>
  <c r="P229" i="7" s="1"/>
  <c r="L182" i="7"/>
  <c r="F187" i="7"/>
  <c r="E187" i="7"/>
  <c r="E186" i="7"/>
  <c r="E182" i="7"/>
  <c r="C185" i="7"/>
  <c r="D187" i="7"/>
  <c r="D186" i="7"/>
  <c r="D183" i="7"/>
  <c r="D182" i="7"/>
  <c r="L177" i="7"/>
  <c r="L14" i="7" s="1"/>
  <c r="E177" i="7"/>
  <c r="D177" i="7"/>
  <c r="E162" i="7"/>
  <c r="J231" i="7" l="1" a="1"/>
  <c r="L229" i="7"/>
  <c r="P245" i="7"/>
  <c r="P55" i="7" s="1"/>
  <c r="P58" i="7" s="1"/>
  <c r="P359" i="7" s="1"/>
  <c r="M245" i="7"/>
  <c r="M55" i="7" s="1"/>
  <c r="M58" i="7" s="1"/>
  <c r="M359" i="7" s="1"/>
  <c r="L245" i="7"/>
  <c r="L55" i="7" s="1"/>
  <c r="L58" i="7" s="1"/>
  <c r="L359" i="7" s="1"/>
  <c r="O245" i="7"/>
  <c r="O55" i="7" s="1"/>
  <c r="O58" i="7" s="1"/>
  <c r="O359" i="7" s="1"/>
  <c r="N245" i="7"/>
  <c r="N55" i="7" s="1"/>
  <c r="N58" i="7" s="1"/>
  <c r="N359" i="7" s="1"/>
  <c r="J208" i="7" a="1"/>
  <c r="J208" i="7" s="1"/>
  <c r="J219" i="7" a="1"/>
  <c r="J219" i="7" s="1"/>
  <c r="L219" i="7" s="1"/>
  <c r="M219" i="7" s="1"/>
  <c r="J197" i="7" a="1"/>
  <c r="J197" i="7" s="1"/>
  <c r="J231" i="7" l="1"/>
  <c r="M220" i="7"/>
  <c r="N220" i="7" s="1"/>
  <c r="O220" i="7" s="1"/>
  <c r="P223" i="7"/>
  <c r="O222" i="7"/>
  <c r="P222" i="7" s="1"/>
  <c r="N221" i="7"/>
  <c r="O221" i="7" s="1"/>
  <c r="P221" i="7" l="1"/>
  <c r="P220" i="7"/>
  <c r="N219" i="7"/>
  <c r="O219" i="7" s="1"/>
  <c r="K160" i="7"/>
  <c r="E161" i="7"/>
  <c r="E160" i="7"/>
  <c r="D161" i="7"/>
  <c r="C159" i="7"/>
  <c r="D160" i="7"/>
  <c r="P219" i="7" l="1"/>
  <c r="P224" i="7" s="1"/>
  <c r="K149" i="7"/>
  <c r="K154" i="7" s="1"/>
  <c r="E150" i="7"/>
  <c r="E164" i="7" s="1"/>
  <c r="E149" i="7"/>
  <c r="E146" i="7"/>
  <c r="K137" i="7"/>
  <c r="K143" i="7" s="1"/>
  <c r="E138" i="7"/>
  <c r="E141" i="7"/>
  <c r="E165" i="7" s="1"/>
  <c r="E137" i="7"/>
  <c r="D150" i="7"/>
  <c r="D164" i="7" s="1"/>
  <c r="D149" i="7"/>
  <c r="D146" i="7"/>
  <c r="C145" i="7"/>
  <c r="D165" i="7"/>
  <c r="J11" i="7"/>
  <c r="J79" i="5" s="1"/>
  <c r="K11" i="7"/>
  <c r="J13" i="7"/>
  <c r="K13" i="7"/>
  <c r="J14" i="7"/>
  <c r="K14" i="7"/>
  <c r="J17" i="7"/>
  <c r="K17" i="7"/>
  <c r="J20" i="7"/>
  <c r="K20" i="7"/>
  <c r="J23" i="7"/>
  <c r="K23" i="7"/>
  <c r="K24" i="7"/>
  <c r="J27" i="7"/>
  <c r="K27" i="7"/>
  <c r="J28" i="7"/>
  <c r="K28" i="7"/>
  <c r="J33" i="7"/>
  <c r="K33" i="7"/>
  <c r="J48" i="7"/>
  <c r="K48" i="7"/>
  <c r="J49" i="7"/>
  <c r="K49" i="7"/>
  <c r="J50" i="7"/>
  <c r="K50" i="7"/>
  <c r="J51" i="7"/>
  <c r="K51" i="7"/>
  <c r="J55" i="7"/>
  <c r="K55" i="7"/>
  <c r="J56" i="7"/>
  <c r="K56" i="7"/>
  <c r="J57" i="7"/>
  <c r="K57" i="7"/>
  <c r="J61" i="7"/>
  <c r="K61" i="7"/>
  <c r="J62" i="7"/>
  <c r="K62" i="7"/>
  <c r="J63" i="7"/>
  <c r="K63" i="7"/>
  <c r="J64" i="7"/>
  <c r="K64" i="7"/>
  <c r="J65" i="7"/>
  <c r="K65" i="7"/>
  <c r="J66" i="7"/>
  <c r="K66" i="7"/>
  <c r="J67" i="7"/>
  <c r="K67" i="7"/>
  <c r="J68" i="7"/>
  <c r="K68" i="7"/>
  <c r="J79" i="7"/>
  <c r="K79" i="7"/>
  <c r="K269" i="7" s="1"/>
  <c r="J80" i="7"/>
  <c r="K80" i="7"/>
  <c r="K270" i="7" s="1"/>
  <c r="J81" i="7"/>
  <c r="K81" i="7"/>
  <c r="K271" i="7" s="1"/>
  <c r="J84" i="7"/>
  <c r="K84" i="7"/>
  <c r="J85" i="7"/>
  <c r="K85" i="7"/>
  <c r="L85" i="7" s="1"/>
  <c r="M85" i="7" s="1"/>
  <c r="N85" i="7" s="1"/>
  <c r="O85" i="7" s="1"/>
  <c r="P85" i="7" s="1"/>
  <c r="J86" i="7"/>
  <c r="K86" i="7"/>
  <c r="L86" i="7" s="1"/>
  <c r="M86" i="7" s="1"/>
  <c r="N86" i="7" s="1"/>
  <c r="O86" i="7" s="1"/>
  <c r="P86" i="7" s="1"/>
  <c r="J87" i="7"/>
  <c r="K87" i="7"/>
  <c r="L87" i="7" s="1"/>
  <c r="M87" i="7" s="1"/>
  <c r="N87" i="7" s="1"/>
  <c r="O87" i="7" s="1"/>
  <c r="P87" i="7" s="1"/>
  <c r="J94" i="7"/>
  <c r="K94" i="7"/>
  <c r="K374" i="7" s="1"/>
  <c r="J95" i="7"/>
  <c r="K95" i="7"/>
  <c r="K275" i="7" s="1"/>
  <c r="J96" i="7"/>
  <c r="K96" i="7"/>
  <c r="K276" i="7" s="1"/>
  <c r="J99" i="7"/>
  <c r="K99" i="7"/>
  <c r="K344" i="7" s="1"/>
  <c r="J100" i="7"/>
  <c r="K100" i="7"/>
  <c r="K334" i="7" s="1"/>
  <c r="J101" i="7"/>
  <c r="K101" i="7"/>
  <c r="L101" i="7" s="1"/>
  <c r="J102" i="7"/>
  <c r="K102" i="7"/>
  <c r="L102" i="7" s="1"/>
  <c r="M102" i="7" s="1"/>
  <c r="N102" i="7" s="1"/>
  <c r="O102" i="7" s="1"/>
  <c r="P102" i="7" s="1"/>
  <c r="J107" i="7"/>
  <c r="K107" i="7"/>
  <c r="K316" i="7" s="1"/>
  <c r="L314" i="7" s="1"/>
  <c r="L316" i="7" s="1"/>
  <c r="J108" i="7"/>
  <c r="K108" i="7"/>
  <c r="K308" i="7" s="1"/>
  <c r="L306" i="7" s="1"/>
  <c r="L308" i="7" s="1"/>
  <c r="J109" i="7"/>
  <c r="K109" i="7"/>
  <c r="K324" i="7" s="1"/>
  <c r="L321" i="7" s="1"/>
  <c r="J110" i="7"/>
  <c r="K110" i="7"/>
  <c r="L110" i="7" s="1"/>
  <c r="M110" i="7" s="1"/>
  <c r="N110" i="7" s="1"/>
  <c r="O110" i="7" s="1"/>
  <c r="P110" i="7" s="1"/>
  <c r="I110" i="7"/>
  <c r="I109" i="7"/>
  <c r="I108" i="7"/>
  <c r="I107" i="7"/>
  <c r="I102" i="7"/>
  <c r="I101" i="7"/>
  <c r="I100" i="7"/>
  <c r="I99" i="7"/>
  <c r="I96" i="7"/>
  <c r="I95" i="7"/>
  <c r="I94" i="7"/>
  <c r="I87" i="7"/>
  <c r="I86" i="7"/>
  <c r="I85" i="7"/>
  <c r="I84" i="7"/>
  <c r="I81" i="7"/>
  <c r="I80" i="7"/>
  <c r="I79" i="7"/>
  <c r="I72" i="7"/>
  <c r="I68" i="7"/>
  <c r="I67" i="7"/>
  <c r="I66" i="7"/>
  <c r="I65" i="7"/>
  <c r="I64" i="7"/>
  <c r="I63" i="7"/>
  <c r="I62" i="7"/>
  <c r="I61" i="7"/>
  <c r="I57" i="7"/>
  <c r="I56" i="7"/>
  <c r="I55" i="7"/>
  <c r="I51" i="7"/>
  <c r="I50" i="7"/>
  <c r="I49" i="7"/>
  <c r="I48" i="7"/>
  <c r="I33" i="7"/>
  <c r="I28" i="7"/>
  <c r="I27" i="7"/>
  <c r="I24" i="7"/>
  <c r="I23" i="7"/>
  <c r="I20" i="7"/>
  <c r="I17" i="7"/>
  <c r="I14" i="7"/>
  <c r="I13" i="7"/>
  <c r="I11" i="7"/>
  <c r="I79" i="5" s="1"/>
  <c r="I80" i="5" s="1"/>
  <c r="C113" i="7"/>
  <c r="C93" i="7"/>
  <c r="C77" i="7"/>
  <c r="C60" i="7"/>
  <c r="C54" i="7"/>
  <c r="C46" i="7"/>
  <c r="D13" i="7"/>
  <c r="D14" i="7"/>
  <c r="D15" i="7"/>
  <c r="D17" i="7"/>
  <c r="D18" i="7"/>
  <c r="D20" i="7"/>
  <c r="D21" i="7"/>
  <c r="D23" i="7"/>
  <c r="D24" i="7"/>
  <c r="D25" i="7"/>
  <c r="D27" i="7"/>
  <c r="D28" i="7"/>
  <c r="D29" i="7"/>
  <c r="D31" i="7"/>
  <c r="D33" i="7"/>
  <c r="D34" i="7"/>
  <c r="D47" i="7"/>
  <c r="D48" i="7"/>
  <c r="D49" i="7"/>
  <c r="D50" i="7"/>
  <c r="D51" i="7"/>
  <c r="D52" i="7"/>
  <c r="D358" i="7" s="1"/>
  <c r="D55" i="7"/>
  <c r="D56" i="7"/>
  <c r="D57" i="7"/>
  <c r="D58" i="7"/>
  <c r="D359" i="7" s="1"/>
  <c r="D61" i="7"/>
  <c r="D62" i="7"/>
  <c r="D360" i="7" s="1"/>
  <c r="D63" i="7"/>
  <c r="D361" i="7" s="1"/>
  <c r="D64" i="7"/>
  <c r="D362" i="7" s="1"/>
  <c r="D65" i="7"/>
  <c r="D363" i="7" s="1"/>
  <c r="D66" i="7"/>
  <c r="D364" i="7" s="1"/>
  <c r="D67" i="7"/>
  <c r="D365" i="7" s="1"/>
  <c r="D68" i="7"/>
  <c r="D366" i="7" s="1"/>
  <c r="D69" i="7"/>
  <c r="D71" i="7"/>
  <c r="D72" i="7"/>
  <c r="D73" i="7"/>
  <c r="D78" i="7"/>
  <c r="D79" i="7"/>
  <c r="D80" i="7"/>
  <c r="D81" i="7"/>
  <c r="D82" i="7"/>
  <c r="D84" i="7"/>
  <c r="D190" i="7" s="1"/>
  <c r="D85" i="7"/>
  <c r="D86" i="7"/>
  <c r="D87" i="7"/>
  <c r="D88" i="7"/>
  <c r="D90" i="7"/>
  <c r="D94" i="7"/>
  <c r="D95" i="7"/>
  <c r="D96" i="7"/>
  <c r="D97" i="7"/>
  <c r="D99" i="7"/>
  <c r="D100" i="7"/>
  <c r="D101" i="7"/>
  <c r="D102" i="7"/>
  <c r="D103" i="7"/>
  <c r="D105" i="7"/>
  <c r="D107" i="7"/>
  <c r="D108" i="7"/>
  <c r="D109" i="7"/>
  <c r="D110" i="7"/>
  <c r="D111" i="7"/>
  <c r="D11" i="7"/>
  <c r="D254" i="7" s="1"/>
  <c r="I5" i="8"/>
  <c r="J5" i="8" s="1"/>
  <c r="K5" i="8" s="1"/>
  <c r="L5" i="8" s="1"/>
  <c r="M5" i="8" s="1"/>
  <c r="N5" i="8" s="1"/>
  <c r="O5" i="8" s="1"/>
  <c r="P5" i="8" s="1"/>
  <c r="K3" i="8" a="1"/>
  <c r="K3" i="8" s="1"/>
  <c r="B2" i="8"/>
  <c r="I5" i="7"/>
  <c r="J5" i="7" s="1"/>
  <c r="K5" i="7" s="1"/>
  <c r="L5" i="7" s="1"/>
  <c r="L228" i="7" s="1"/>
  <c r="K3" i="7" a="1"/>
  <c r="K3" i="7" s="1"/>
  <c r="B2" i="7"/>
  <c r="K165" i="7" l="1"/>
  <c r="L236" i="7"/>
  <c r="I15" i="7"/>
  <c r="I18" i="7" s="1"/>
  <c r="I83" i="5" s="1"/>
  <c r="J80" i="5"/>
  <c r="K254" i="7"/>
  <c r="K79" i="5"/>
  <c r="K80" i="5" s="1"/>
  <c r="L372" i="7"/>
  <c r="K277" i="7"/>
  <c r="L336" i="7"/>
  <c r="L379" i="7" s="1"/>
  <c r="L332" i="7"/>
  <c r="L342" i="7"/>
  <c r="L343" i="7" s="1"/>
  <c r="M306" i="7"/>
  <c r="M308" i="7" s="1"/>
  <c r="L108" i="7"/>
  <c r="L107" i="7"/>
  <c r="M314" i="7"/>
  <c r="M316" i="7" s="1"/>
  <c r="L318" i="7"/>
  <c r="M101" i="7"/>
  <c r="K272" i="7"/>
  <c r="D175" i="7"/>
  <c r="D255" i="7"/>
  <c r="K190" i="7"/>
  <c r="K247" i="7"/>
  <c r="L244" i="7" s="1"/>
  <c r="K175" i="7"/>
  <c r="K255" i="7"/>
  <c r="L195" i="7"/>
  <c r="L206" i="7"/>
  <c r="L217" i="7"/>
  <c r="M5" i="7"/>
  <c r="M228" i="7" s="1"/>
  <c r="K155" i="7"/>
  <c r="K153" i="7" s="1"/>
  <c r="K147" i="7" s="1"/>
  <c r="I103" i="7"/>
  <c r="I111" i="7"/>
  <c r="K97" i="7"/>
  <c r="K88" i="7"/>
  <c r="K69" i="7"/>
  <c r="I97" i="7"/>
  <c r="K111" i="7"/>
  <c r="J88" i="7"/>
  <c r="K103" i="7"/>
  <c r="I88" i="7"/>
  <c r="J111" i="7"/>
  <c r="J103" i="7"/>
  <c r="J97" i="7"/>
  <c r="I69" i="7"/>
  <c r="K29" i="7"/>
  <c r="K15" i="7"/>
  <c r="K18" i="7" s="1"/>
  <c r="K83" i="5" s="1"/>
  <c r="J58" i="7"/>
  <c r="I58" i="7"/>
  <c r="J69" i="7"/>
  <c r="K58" i="7"/>
  <c r="J29" i="7"/>
  <c r="J15" i="7"/>
  <c r="J18" i="7" s="1"/>
  <c r="J83" i="5" s="1"/>
  <c r="I29" i="7"/>
  <c r="M236" i="7" l="1"/>
  <c r="K279" i="7"/>
  <c r="I85" i="5"/>
  <c r="I84" i="5"/>
  <c r="K173" i="7"/>
  <c r="J85" i="5"/>
  <c r="J84" i="5"/>
  <c r="L191" i="7"/>
  <c r="K85" i="5"/>
  <c r="K84" i="5"/>
  <c r="L344" i="7"/>
  <c r="L99" i="7" s="1"/>
  <c r="L62" i="7"/>
  <c r="L360" i="7" s="1"/>
  <c r="L333" i="7"/>
  <c r="N101" i="7"/>
  <c r="L33" i="7"/>
  <c r="L66" i="7"/>
  <c r="L364" i="7" s="1"/>
  <c r="M107" i="7"/>
  <c r="N314" i="7"/>
  <c r="N316" i="7" s="1"/>
  <c r="M318" i="7"/>
  <c r="N306" i="7"/>
  <c r="N308" i="7" s="1"/>
  <c r="M108" i="7"/>
  <c r="M217" i="7"/>
  <c r="M195" i="7"/>
  <c r="M206" i="7"/>
  <c r="N5" i="7"/>
  <c r="N228" i="7" s="1"/>
  <c r="I105" i="7"/>
  <c r="I113" i="7" s="1"/>
  <c r="K21" i="7"/>
  <c r="K25" i="7" s="1"/>
  <c r="K31" i="7" s="1"/>
  <c r="K36" i="7"/>
  <c r="I21" i="7"/>
  <c r="I25" i="7" s="1"/>
  <c r="I31" i="7" s="1"/>
  <c r="I36" i="7"/>
  <c r="J21" i="7"/>
  <c r="J25" i="7" s="1"/>
  <c r="J31" i="7" s="1"/>
  <c r="J36" i="7"/>
  <c r="J105" i="7"/>
  <c r="J113" i="7" s="1"/>
  <c r="K105" i="7"/>
  <c r="K113" i="7" s="1"/>
  <c r="N236" i="7" l="1"/>
  <c r="M342" i="7"/>
  <c r="M343" i="7" s="1"/>
  <c r="M62" i="7" s="1"/>
  <c r="M360" i="7" s="1"/>
  <c r="M191" i="7"/>
  <c r="K47" i="7"/>
  <c r="K52" i="7" s="1"/>
  <c r="K71" i="7" s="1"/>
  <c r="K88" i="5"/>
  <c r="J47" i="7"/>
  <c r="J52" i="7" s="1"/>
  <c r="J71" i="7" s="1"/>
  <c r="J88" i="5"/>
  <c r="I47" i="7"/>
  <c r="I52" i="7" s="1"/>
  <c r="I71" i="7" s="1"/>
  <c r="I73" i="7" s="1"/>
  <c r="J72" i="7" s="1"/>
  <c r="I88" i="5"/>
  <c r="L239" i="7"/>
  <c r="L334" i="7"/>
  <c r="L100" i="7" s="1"/>
  <c r="L103" i="7" s="1"/>
  <c r="L63" i="7"/>
  <c r="L361" i="7" s="1"/>
  <c r="M33" i="7"/>
  <c r="M66" i="7"/>
  <c r="M364" i="7" s="1"/>
  <c r="O306" i="7"/>
  <c r="O308" i="7" s="1"/>
  <c r="N108" i="7"/>
  <c r="N107" i="7"/>
  <c r="O314" i="7"/>
  <c r="O316" i="7" s="1"/>
  <c r="N318" i="7"/>
  <c r="O101" i="7"/>
  <c r="N217" i="7"/>
  <c r="N206" i="7"/>
  <c r="N195" i="7"/>
  <c r="O5" i="7"/>
  <c r="O228" i="7" s="1"/>
  <c r="I34" i="7"/>
  <c r="I38" i="7" s="1"/>
  <c r="I93" i="5" s="1"/>
  <c r="I39" i="7"/>
  <c r="I94" i="5" s="1"/>
  <c r="K34" i="7"/>
  <c r="K38" i="7" s="1"/>
  <c r="K93" i="5" s="1"/>
  <c r="K39" i="7"/>
  <c r="K94" i="5" s="1"/>
  <c r="J34" i="7"/>
  <c r="J38" i="7" s="1"/>
  <c r="J93" i="5" s="1"/>
  <c r="J39" i="7"/>
  <c r="J94" i="5" s="1"/>
  <c r="M344" i="7" l="1"/>
  <c r="M99" i="7" s="1"/>
  <c r="O236" i="7"/>
  <c r="M336" i="7"/>
  <c r="M379" i="7" s="1"/>
  <c r="J73" i="7"/>
  <c r="K72" i="7" s="1"/>
  <c r="K73" i="7" s="1"/>
  <c r="K353" i="7" s="1"/>
  <c r="M332" i="7"/>
  <c r="I89" i="5"/>
  <c r="I90" i="5"/>
  <c r="I78" i="7"/>
  <c r="I82" i="7" s="1"/>
  <c r="I90" i="7" s="1"/>
  <c r="I115" i="7" s="1"/>
  <c r="N191" i="7"/>
  <c r="N239" i="7" s="1"/>
  <c r="M239" i="7"/>
  <c r="J90" i="5"/>
  <c r="J89" i="5"/>
  <c r="K90" i="5"/>
  <c r="K89" i="5"/>
  <c r="M333" i="7"/>
  <c r="P101" i="7"/>
  <c r="N33" i="7"/>
  <c r="N66" i="7"/>
  <c r="N364" i="7" s="1"/>
  <c r="P306" i="7"/>
  <c r="P308" i="7" s="1"/>
  <c r="P108" i="7" s="1"/>
  <c r="O108" i="7"/>
  <c r="O107" i="7"/>
  <c r="P314" i="7"/>
  <c r="P316" i="7" s="1"/>
  <c r="O318" i="7"/>
  <c r="O206" i="7"/>
  <c r="O217" i="7"/>
  <c r="O195" i="7"/>
  <c r="P5" i="7"/>
  <c r="P228" i="7" s="1"/>
  <c r="J78" i="7" l="1"/>
  <c r="J82" i="7" s="1"/>
  <c r="J90" i="7" s="1"/>
  <c r="J41" i="7" s="1"/>
  <c r="J96" i="5" s="1"/>
  <c r="N342" i="7"/>
  <c r="N343" i="7" s="1"/>
  <c r="N62" i="7" s="1"/>
  <c r="N360" i="7" s="1"/>
  <c r="P236" i="7"/>
  <c r="I41" i="7"/>
  <c r="I96" i="5" s="1"/>
  <c r="I40" i="7"/>
  <c r="I95" i="5" s="1"/>
  <c r="O191" i="7"/>
  <c r="M334" i="7"/>
  <c r="M100" i="7" s="1"/>
  <c r="M103" i="7" s="1"/>
  <c r="M63" i="7"/>
  <c r="M361" i="7" s="1"/>
  <c r="L351" i="7"/>
  <c r="P318" i="7"/>
  <c r="P107" i="7"/>
  <c r="O33" i="7"/>
  <c r="O66" i="7"/>
  <c r="O364" i="7" s="1"/>
  <c r="K78" i="7"/>
  <c r="K82" i="7" s="1"/>
  <c r="K90" i="7" s="1"/>
  <c r="L72" i="7"/>
  <c r="P206" i="7"/>
  <c r="P195" i="7"/>
  <c r="I231" i="7" s="1" a="1"/>
  <c r="P234" i="7" s="1"/>
  <c r="P217" i="7"/>
  <c r="F93" i="3"/>
  <c r="F339" i="7" s="1"/>
  <c r="J67" i="3"/>
  <c r="K67" i="3"/>
  <c r="J68" i="3"/>
  <c r="K68" i="3"/>
  <c r="I68" i="3"/>
  <c r="I67" i="3"/>
  <c r="D68" i="3"/>
  <c r="D67" i="3"/>
  <c r="I62" i="3"/>
  <c r="J62" i="3"/>
  <c r="K62" i="3"/>
  <c r="I63" i="3"/>
  <c r="J63" i="3"/>
  <c r="K63" i="3"/>
  <c r="I64" i="3"/>
  <c r="J64" i="3"/>
  <c r="K64" i="3"/>
  <c r="D63" i="3"/>
  <c r="D64" i="3"/>
  <c r="D62" i="3"/>
  <c r="I58" i="3"/>
  <c r="J58" i="3"/>
  <c r="K58" i="3"/>
  <c r="I59" i="3"/>
  <c r="J59" i="3"/>
  <c r="K59" i="3"/>
  <c r="D59" i="3"/>
  <c r="D58" i="3"/>
  <c r="E56" i="3"/>
  <c r="D56" i="3"/>
  <c r="D251" i="7" s="1"/>
  <c r="K39" i="3"/>
  <c r="P34" i="4" a="1"/>
  <c r="P34" i="4" s="1"/>
  <c r="P28" i="3" s="1"/>
  <c r="O34" i="4" a="1"/>
  <c r="O34" i="4" s="1"/>
  <c r="O28" i="3" s="1"/>
  <c r="N34" i="4" a="1"/>
  <c r="N34" i="4" s="1"/>
  <c r="N28" i="3" s="1"/>
  <c r="M34" i="4" a="1"/>
  <c r="M34" i="4" s="1"/>
  <c r="M28" i="3" s="1"/>
  <c r="L34" i="4" a="1"/>
  <c r="L34" i="4" s="1"/>
  <c r="L28" i="3" s="1"/>
  <c r="P26" i="4" a="1"/>
  <c r="P26" i="4" s="1"/>
  <c r="P31" i="3" s="1"/>
  <c r="P146" i="7" s="1"/>
  <c r="O26" i="4" a="1"/>
  <c r="O26" i="4" s="1"/>
  <c r="O31" i="3" s="1"/>
  <c r="O146" i="7" s="1"/>
  <c r="N26" i="4" a="1"/>
  <c r="N26" i="4" s="1"/>
  <c r="N31" i="3" s="1"/>
  <c r="N146" i="7" s="1"/>
  <c r="M26" i="4" a="1"/>
  <c r="M26" i="4" s="1"/>
  <c r="M31" i="3" s="1"/>
  <c r="M146" i="7" s="1"/>
  <c r="L26" i="4" a="1"/>
  <c r="L26" i="4" s="1"/>
  <c r="L31" i="3" s="1"/>
  <c r="L146" i="7" s="1"/>
  <c r="M18" i="4" a="1"/>
  <c r="M18" i="4" s="1"/>
  <c r="M34" i="3" s="1"/>
  <c r="M150" i="7" s="1"/>
  <c r="M164" i="7" s="1"/>
  <c r="M177" i="7" s="1"/>
  <c r="M14" i="7" s="1"/>
  <c r="N18" i="4" a="1"/>
  <c r="N18" i="4" s="1"/>
  <c r="N34" i="3" s="1"/>
  <c r="N150" i="7" s="1"/>
  <c r="N164" i="7" s="1"/>
  <c r="O18" i="4" a="1"/>
  <c r="O18" i="4" s="1"/>
  <c r="O34" i="3" s="1"/>
  <c r="O150" i="7" s="1"/>
  <c r="O164" i="7" s="1"/>
  <c r="P18" i="4" a="1"/>
  <c r="P18" i="4" s="1"/>
  <c r="P34" i="3" s="1"/>
  <c r="P150" i="7" s="1"/>
  <c r="P164" i="7" s="1"/>
  <c r="L18" i="4" a="1"/>
  <c r="L18" i="4" s="1"/>
  <c r="L34" i="3" s="1"/>
  <c r="L150" i="7" s="1"/>
  <c r="K3" i="4" a="1"/>
  <c r="K3" i="4" s="1"/>
  <c r="K3" i="5" a="1"/>
  <c r="K3" i="5" s="1"/>
  <c r="K3" i="3" a="1"/>
  <c r="K3" i="3" s="1"/>
  <c r="B7" i="4" a="1"/>
  <c r="B7" i="4" s="1"/>
  <c r="I5" i="5"/>
  <c r="J5" i="5" s="1"/>
  <c r="K5" i="5" s="1"/>
  <c r="L5" i="5" s="1"/>
  <c r="M5" i="5" s="1"/>
  <c r="N5" i="5" s="1"/>
  <c r="O5" i="5" s="1"/>
  <c r="P5" i="5" s="1"/>
  <c r="B2" i="5"/>
  <c r="L147" i="7" l="1"/>
  <c r="M147" i="7" s="1"/>
  <c r="N147" i="7" s="1"/>
  <c r="J115" i="7"/>
  <c r="L130" i="7"/>
  <c r="L134" i="7" s="1"/>
  <c r="M130" i="7"/>
  <c r="N130" i="7"/>
  <c r="O130" i="7"/>
  <c r="P130" i="7"/>
  <c r="J40" i="7"/>
  <c r="J95" i="5" s="1"/>
  <c r="N344" i="7"/>
  <c r="N99" i="7" s="1"/>
  <c r="P235" i="7"/>
  <c r="P232" i="7"/>
  <c r="P233" i="7"/>
  <c r="L232" i="7"/>
  <c r="L235" i="7"/>
  <c r="L234" i="7"/>
  <c r="L233" i="7"/>
  <c r="M234" i="7"/>
  <c r="M235" i="7"/>
  <c r="M233" i="7"/>
  <c r="M232" i="7"/>
  <c r="N235" i="7"/>
  <c r="N234" i="7"/>
  <c r="N232" i="7"/>
  <c r="N233" i="7"/>
  <c r="O235" i="7"/>
  <c r="O232" i="7"/>
  <c r="O233" i="7"/>
  <c r="O234" i="7"/>
  <c r="L346" i="7"/>
  <c r="L380" i="7" s="1"/>
  <c r="M346" i="7"/>
  <c r="M380" i="7" s="1"/>
  <c r="N346" i="7"/>
  <c r="N380" i="7" s="1"/>
  <c r="I231" i="7"/>
  <c r="N332" i="7"/>
  <c r="N333" i="7" s="1"/>
  <c r="N63" i="7" s="1"/>
  <c r="N361" i="7" s="1"/>
  <c r="N336" i="7"/>
  <c r="N379" i="7" s="1"/>
  <c r="O239" i="7"/>
  <c r="P191" i="7"/>
  <c r="P239" i="7" s="1"/>
  <c r="K40" i="7"/>
  <c r="K95" i="5" s="1"/>
  <c r="K41" i="7"/>
  <c r="K96" i="5" s="1"/>
  <c r="K115" i="7"/>
  <c r="P33" i="7"/>
  <c r="P66" i="7"/>
  <c r="P364" i="7" s="1"/>
  <c r="I219" i="7" a="1"/>
  <c r="I197" i="7" a="1"/>
  <c r="I208" i="7" a="1"/>
  <c r="N177" i="7"/>
  <c r="L149" i="7"/>
  <c r="L154" i="7" s="1"/>
  <c r="L164" i="7"/>
  <c r="L168" i="7" s="1"/>
  <c r="K161" i="7"/>
  <c r="K174" i="7" s="1"/>
  <c r="K40" i="3"/>
  <c r="I5" i="4"/>
  <c r="J5" i="4" s="1"/>
  <c r="K5" i="4" s="1"/>
  <c r="L5" i="4" s="1"/>
  <c r="M5" i="4" s="1"/>
  <c r="N5" i="4" s="1"/>
  <c r="O5" i="4" s="1"/>
  <c r="P5" i="4" s="1"/>
  <c r="B2" i="4"/>
  <c r="I5" i="3"/>
  <c r="I8" i="3" s="1"/>
  <c r="I56" i="3" s="1"/>
  <c r="I76" i="3" s="1"/>
  <c r="B2" i="3"/>
  <c r="B20" i="2"/>
  <c r="B19" i="2"/>
  <c r="B17" i="2"/>
  <c r="O346" i="7" l="1"/>
  <c r="O380" i="7" s="1"/>
  <c r="L135" i="7"/>
  <c r="M133" i="7" s="1"/>
  <c r="M134" i="7" s="1"/>
  <c r="L138" i="7"/>
  <c r="O342" i="7"/>
  <c r="O343" i="7" s="1"/>
  <c r="O62" i="7" s="1"/>
  <c r="O360" i="7" s="1"/>
  <c r="L231" i="7"/>
  <c r="M231" i="7"/>
  <c r="N231" i="7"/>
  <c r="O231" i="7"/>
  <c r="P231" i="7"/>
  <c r="N334" i="7"/>
  <c r="N100" i="7" s="1"/>
  <c r="N103" i="7" s="1"/>
  <c r="M198" i="7"/>
  <c r="N198" i="7" s="1"/>
  <c r="O198" i="7" s="1"/>
  <c r="N199" i="7"/>
  <c r="O199" i="7" s="1"/>
  <c r="P199" i="7" s="1"/>
  <c r="O200" i="7"/>
  <c r="P200" i="7" s="1"/>
  <c r="P201" i="7"/>
  <c r="L210" i="7"/>
  <c r="L209" i="7"/>
  <c r="L211" i="7"/>
  <c r="L212" i="7"/>
  <c r="M209" i="7"/>
  <c r="M210" i="7"/>
  <c r="M211" i="7"/>
  <c r="M212" i="7"/>
  <c r="N211" i="7"/>
  <c r="N210" i="7"/>
  <c r="N212" i="7"/>
  <c r="O212" i="7"/>
  <c r="O211" i="7"/>
  <c r="P212" i="7"/>
  <c r="M149" i="7"/>
  <c r="N149" i="7" s="1"/>
  <c r="O177" i="7"/>
  <c r="N14" i="7"/>
  <c r="I208" i="7"/>
  <c r="I197" i="7"/>
  <c r="M223" i="7"/>
  <c r="I219" i="7"/>
  <c r="N223" i="7"/>
  <c r="O224" i="7"/>
  <c r="K170" i="7"/>
  <c r="K162" i="7"/>
  <c r="M168" i="7"/>
  <c r="I77" i="3"/>
  <c r="O147" i="7"/>
  <c r="I71" i="3"/>
  <c r="I72" i="3"/>
  <c r="I73" i="3"/>
  <c r="J5" i="3"/>
  <c r="B6" i="2"/>
  <c r="B4" i="2"/>
  <c r="M135" i="7" l="1"/>
  <c r="N133" i="7" s="1"/>
  <c r="N134" i="7" s="1"/>
  <c r="M138" i="7"/>
  <c r="L137" i="7"/>
  <c r="O344" i="7"/>
  <c r="P346" i="7" s="1"/>
  <c r="P380" i="7" s="1"/>
  <c r="O336" i="7"/>
  <c r="O379" i="7" s="1"/>
  <c r="O332" i="7"/>
  <c r="O333" i="7" s="1"/>
  <c r="O334" i="7" s="1"/>
  <c r="P198" i="7"/>
  <c r="O210" i="7"/>
  <c r="P210" i="7" s="1"/>
  <c r="N209" i="7"/>
  <c r="O209" i="7" s="1"/>
  <c r="P211" i="7"/>
  <c r="L197" i="7"/>
  <c r="L202" i="7" s="1"/>
  <c r="L208" i="7"/>
  <c r="L213" i="7" s="1"/>
  <c r="M154" i="7"/>
  <c r="P177" i="7"/>
  <c r="P14" i="7" s="1"/>
  <c r="O14" i="7"/>
  <c r="N224" i="7"/>
  <c r="L224" i="7"/>
  <c r="M224" i="7"/>
  <c r="L174" i="7"/>
  <c r="N168" i="7"/>
  <c r="P147" i="7"/>
  <c r="N154" i="7"/>
  <c r="O149" i="7"/>
  <c r="J8" i="3"/>
  <c r="J56" i="3" s="1"/>
  <c r="K5" i="3"/>
  <c r="I120" i="1"/>
  <c r="H120" i="1"/>
  <c r="H122" i="1" s="1"/>
  <c r="H126" i="1" s="1"/>
  <c r="G120" i="1"/>
  <c r="H114" i="1"/>
  <c r="G114" i="1"/>
  <c r="G122" i="1" s="1"/>
  <c r="I112" i="1"/>
  <c r="H112" i="1"/>
  <c r="G112" i="1"/>
  <c r="I106" i="1"/>
  <c r="I114" i="1" s="1"/>
  <c r="I122" i="1" s="1"/>
  <c r="I126" i="1" s="1"/>
  <c r="H106" i="1"/>
  <c r="G106" i="1"/>
  <c r="I99" i="1"/>
  <c r="H99" i="1"/>
  <c r="I97" i="1"/>
  <c r="H97" i="1"/>
  <c r="G97" i="1"/>
  <c r="I91" i="1"/>
  <c r="H91" i="1"/>
  <c r="G91" i="1"/>
  <c r="G99" i="1" s="1"/>
  <c r="G85" i="1"/>
  <c r="B84" i="1"/>
  <c r="B81" i="1"/>
  <c r="G75" i="1"/>
  <c r="G77" i="1" s="1"/>
  <c r="H76" i="1" s="1"/>
  <c r="I73" i="1"/>
  <c r="H73" i="1"/>
  <c r="G73" i="1"/>
  <c r="I61" i="1"/>
  <c r="I75" i="1" s="1"/>
  <c r="H61" i="1"/>
  <c r="G61" i="1"/>
  <c r="I54" i="1"/>
  <c r="H54" i="1"/>
  <c r="H75" i="1" s="1"/>
  <c r="G54" i="1"/>
  <c r="G46" i="1"/>
  <c r="B44" i="1"/>
  <c r="B41" i="1"/>
  <c r="I31" i="1"/>
  <c r="H31" i="1"/>
  <c r="G31" i="1"/>
  <c r="H27" i="1"/>
  <c r="H33" i="1" s="1"/>
  <c r="H36" i="1" s="1"/>
  <c r="H23" i="1"/>
  <c r="G23" i="1"/>
  <c r="G27" i="1" s="1"/>
  <c r="G33" i="1" s="1"/>
  <c r="G36" i="1" s="1"/>
  <c r="H20" i="1"/>
  <c r="G20" i="1"/>
  <c r="I17" i="1"/>
  <c r="I20" i="1" s="1"/>
  <c r="I23" i="1" s="1"/>
  <c r="I27" i="1" s="1"/>
  <c r="I33" i="1" s="1"/>
  <c r="I36" i="1" s="1"/>
  <c r="H17" i="1"/>
  <c r="G17" i="1"/>
  <c r="I11" i="1"/>
  <c r="H11" i="1"/>
  <c r="G11" i="1"/>
  <c r="I10" i="1"/>
  <c r="H10" i="1"/>
  <c r="G10" i="1"/>
  <c r="I9" i="1"/>
  <c r="H9" i="1"/>
  <c r="H7" i="1"/>
  <c r="H85" i="1" s="1"/>
  <c r="O99" i="7" l="1"/>
  <c r="M137" i="7"/>
  <c r="P342" i="7"/>
  <c r="P343" i="7" s="1"/>
  <c r="M143" i="7"/>
  <c r="M141" i="7" s="1"/>
  <c r="N135" i="7"/>
  <c r="O133" i="7" s="1"/>
  <c r="O134" i="7" s="1"/>
  <c r="N138" i="7"/>
  <c r="O63" i="7"/>
  <c r="O361" i="7" s="1"/>
  <c r="M197" i="7"/>
  <c r="N197" i="7" s="1"/>
  <c r="N202" i="7" s="1"/>
  <c r="N240" i="7" s="1"/>
  <c r="N241" i="7" s="1"/>
  <c r="N246" i="7" s="1"/>
  <c r="N20" i="7" s="1"/>
  <c r="N48" i="7" s="1"/>
  <c r="P209" i="7"/>
  <c r="M208" i="7"/>
  <c r="M213" i="7" s="1"/>
  <c r="L240" i="7"/>
  <c r="L241" i="7" s="1"/>
  <c r="L246" i="7" s="1"/>
  <c r="P344" i="7"/>
  <c r="P99" i="7" s="1"/>
  <c r="P62" i="7"/>
  <c r="P360" i="7" s="1"/>
  <c r="O100" i="7"/>
  <c r="P332" i="7"/>
  <c r="P333" i="7" s="1"/>
  <c r="P336" i="7"/>
  <c r="P379" i="7" s="1"/>
  <c r="M174" i="7"/>
  <c r="N174" i="7" s="1"/>
  <c r="O168" i="7"/>
  <c r="J76" i="3"/>
  <c r="J73" i="3"/>
  <c r="J77" i="3"/>
  <c r="J71" i="3"/>
  <c r="J72" i="3"/>
  <c r="O154" i="7"/>
  <c r="P149" i="7"/>
  <c r="P154" i="7" s="1"/>
  <c r="L5" i="3"/>
  <c r="K8" i="3"/>
  <c r="K56" i="3" s="1"/>
  <c r="H77" i="1"/>
  <c r="I76" i="1" s="1"/>
  <c r="I77" i="1" s="1"/>
  <c r="G126" i="1"/>
  <c r="I7" i="1"/>
  <c r="H46" i="1"/>
  <c r="O103" i="7" l="1"/>
  <c r="N143" i="7"/>
  <c r="N141" i="7" s="1"/>
  <c r="O135" i="7"/>
  <c r="P133" i="7" s="1"/>
  <c r="P134" i="7" s="1"/>
  <c r="O138" i="7"/>
  <c r="N137" i="7"/>
  <c r="L165" i="7"/>
  <c r="L153" i="7"/>
  <c r="L155" i="7" s="1"/>
  <c r="L11" i="7" s="1"/>
  <c r="M202" i="7"/>
  <c r="M240" i="7" s="1"/>
  <c r="M241" i="7" s="1"/>
  <c r="M246" i="7" s="1"/>
  <c r="M20" i="7" s="1"/>
  <c r="M48" i="7" s="1"/>
  <c r="O197" i="7"/>
  <c r="P197" i="7" s="1"/>
  <c r="P202" i="7" s="1"/>
  <c r="P240" i="7" s="1"/>
  <c r="P241" i="7" s="1"/>
  <c r="P246" i="7" s="1"/>
  <c r="P20" i="7" s="1"/>
  <c r="P48" i="7" s="1"/>
  <c r="N208" i="7"/>
  <c r="L20" i="7"/>
  <c r="L48" i="7" s="1"/>
  <c r="L247" i="7"/>
  <c r="M244" i="7" s="1"/>
  <c r="P334" i="7"/>
  <c r="P100" i="7" s="1"/>
  <c r="P103" i="7" s="1"/>
  <c r="P63" i="7"/>
  <c r="P361" i="7" s="1"/>
  <c r="P168" i="7"/>
  <c r="O174" i="7"/>
  <c r="K77" i="3"/>
  <c r="K73" i="3"/>
  <c r="K71" i="3"/>
  <c r="K72" i="3"/>
  <c r="K76" i="3"/>
  <c r="M5" i="3"/>
  <c r="L8" i="3"/>
  <c r="L56" i="3" s="1"/>
  <c r="L251" i="7" s="1"/>
  <c r="I46" i="1"/>
  <c r="I85" i="1"/>
  <c r="L79" i="5" l="1"/>
  <c r="L80" i="5" s="1"/>
  <c r="L254" i="7"/>
  <c r="L269" i="7" s="1"/>
  <c r="L79" i="7" s="1"/>
  <c r="L173" i="7"/>
  <c r="L175" i="7" s="1"/>
  <c r="L13" i="7" s="1"/>
  <c r="L170" i="7"/>
  <c r="O137" i="7"/>
  <c r="O143" i="7"/>
  <c r="O141" i="7" s="1"/>
  <c r="M153" i="7"/>
  <c r="M155" i="7" s="1"/>
  <c r="M11" i="7" s="1"/>
  <c r="M165" i="7"/>
  <c r="P135" i="7"/>
  <c r="P138" i="7"/>
  <c r="O202" i="7"/>
  <c r="O240" i="7" s="1"/>
  <c r="O241" i="7" s="1"/>
  <c r="O246" i="7" s="1"/>
  <c r="O20" i="7" s="1"/>
  <c r="O48" i="7" s="1"/>
  <c r="M247" i="7"/>
  <c r="M84" i="7" s="1"/>
  <c r="M88" i="7" s="1"/>
  <c r="O208" i="7"/>
  <c r="N213" i="7"/>
  <c r="L84" i="7"/>
  <c r="L88" i="7" s="1"/>
  <c r="P174" i="7"/>
  <c r="N5" i="3"/>
  <c r="M8" i="3"/>
  <c r="M56" i="3" s="1"/>
  <c r="M251" i="7" s="1"/>
  <c r="N153" i="7" l="1"/>
  <c r="N155" i="7" s="1"/>
  <c r="N11" i="7" s="1"/>
  <c r="N165" i="7"/>
  <c r="P143" i="7"/>
  <c r="P141" i="7" s="1"/>
  <c r="M173" i="7"/>
  <c r="M175" i="7" s="1"/>
  <c r="M13" i="7" s="1"/>
  <c r="M170" i="7"/>
  <c r="L15" i="7"/>
  <c r="L18" i="7" s="1"/>
  <c r="L255" i="7"/>
  <c r="P137" i="7"/>
  <c r="M79" i="5"/>
  <c r="M80" i="5" s="1"/>
  <c r="M254" i="7"/>
  <c r="M269" i="7" s="1"/>
  <c r="M79" i="7" s="1"/>
  <c r="N244" i="7"/>
  <c r="N247" i="7" s="1"/>
  <c r="N84" i="7" s="1"/>
  <c r="N88" i="7" s="1"/>
  <c r="P208" i="7"/>
  <c r="P213" i="7" s="1"/>
  <c r="O213" i="7"/>
  <c r="O5" i="3"/>
  <c r="N8" i="3"/>
  <c r="N56" i="3" s="1"/>
  <c r="N251" i="7" s="1"/>
  <c r="L83" i="5" l="1"/>
  <c r="L36" i="7"/>
  <c r="L21" i="7"/>
  <c r="O244" i="7"/>
  <c r="O247" i="7" s="1"/>
  <c r="P244" i="7" s="1"/>
  <c r="P247" i="7" s="1"/>
  <c r="P84" i="7" s="1"/>
  <c r="P88" i="7" s="1"/>
  <c r="M255" i="7"/>
  <c r="M15" i="7"/>
  <c r="M18" i="7" s="1"/>
  <c r="P153" i="7"/>
  <c r="P155" i="7" s="1"/>
  <c r="P11" i="7" s="1"/>
  <c r="P165" i="7"/>
  <c r="O153" i="7"/>
  <c r="O155" i="7" s="1"/>
  <c r="O11" i="7" s="1"/>
  <c r="O165" i="7"/>
  <c r="N173" i="7"/>
  <c r="N175" i="7" s="1"/>
  <c r="N13" i="7" s="1"/>
  <c r="N169" i="7"/>
  <c r="N170" i="7" s="1"/>
  <c r="L275" i="7"/>
  <c r="L270" i="7"/>
  <c r="L271" i="7"/>
  <c r="L81" i="7" s="1"/>
  <c r="L276" i="7"/>
  <c r="L96" i="7" s="1"/>
  <c r="N79" i="5"/>
  <c r="N80" i="5" s="1"/>
  <c r="N254" i="7"/>
  <c r="N269" i="7" s="1"/>
  <c r="N79" i="7" s="1"/>
  <c r="P5" i="3"/>
  <c r="P8" i="3" s="1"/>
  <c r="P56" i="3" s="1"/>
  <c r="P251" i="7" s="1"/>
  <c r="O8" i="3"/>
  <c r="O56" i="3" s="1"/>
  <c r="O251" i="7" s="1"/>
  <c r="O84" i="7" l="1"/>
  <c r="O88" i="7" s="1"/>
  <c r="P173" i="7"/>
  <c r="P175" i="7" s="1"/>
  <c r="P13" i="7" s="1"/>
  <c r="P169" i="7"/>
  <c r="P170" i="7" s="1"/>
  <c r="L95" i="7"/>
  <c r="L277" i="7"/>
  <c r="P79" i="5"/>
  <c r="P254" i="7"/>
  <c r="P269" i="7" s="1"/>
  <c r="P79" i="7" s="1"/>
  <c r="L80" i="7"/>
  <c r="L272" i="7"/>
  <c r="M270" i="7"/>
  <c r="M276" i="7"/>
  <c r="M96" i="7" s="1"/>
  <c r="M271" i="7"/>
  <c r="M81" i="7" s="1"/>
  <c r="M275" i="7"/>
  <c r="M83" i="5"/>
  <c r="M21" i="7"/>
  <c r="M36" i="7"/>
  <c r="O79" i="5"/>
  <c r="O80" i="5" s="1"/>
  <c r="O254" i="7"/>
  <c r="O269" i="7" s="1"/>
  <c r="O79" i="7" s="1"/>
  <c r="N255" i="7"/>
  <c r="N15" i="7"/>
  <c r="N18" i="7" s="1"/>
  <c r="O173" i="7"/>
  <c r="O175" i="7" s="1"/>
  <c r="O13" i="7" s="1"/>
  <c r="O169" i="7"/>
  <c r="O170" i="7" s="1"/>
  <c r="L84" i="5"/>
  <c r="L85" i="5"/>
  <c r="P80" i="5" l="1"/>
  <c r="L279" i="7"/>
  <c r="L280" i="7" s="1"/>
  <c r="L50" i="7" s="1"/>
  <c r="O15" i="7"/>
  <c r="O18" i="7" s="1"/>
  <c r="O255" i="7"/>
  <c r="M85" i="5"/>
  <c r="M84" i="5"/>
  <c r="M95" i="7"/>
  <c r="M277" i="7"/>
  <c r="N83" i="5"/>
  <c r="N21" i="7"/>
  <c r="N36" i="7"/>
  <c r="N275" i="7"/>
  <c r="N276" i="7"/>
  <c r="N96" i="7" s="1"/>
  <c r="N270" i="7"/>
  <c r="N271" i="7"/>
  <c r="N81" i="7" s="1"/>
  <c r="M80" i="7"/>
  <c r="M272" i="7"/>
  <c r="P255" i="7"/>
  <c r="P15" i="7"/>
  <c r="P18" i="7" s="1"/>
  <c r="M279" i="7" l="1"/>
  <c r="M280" i="7" s="1"/>
  <c r="M50" i="7" s="1"/>
  <c r="N80" i="7"/>
  <c r="N272" i="7"/>
  <c r="N279" i="7" s="1"/>
  <c r="N280" i="7" s="1"/>
  <c r="N50" i="7" s="1"/>
  <c r="P271" i="7"/>
  <c r="P81" i="7" s="1"/>
  <c r="P270" i="7"/>
  <c r="P275" i="7"/>
  <c r="P276" i="7"/>
  <c r="P96" i="7" s="1"/>
  <c r="N84" i="5"/>
  <c r="N85" i="5"/>
  <c r="N277" i="7"/>
  <c r="N95" i="7"/>
  <c r="O271" i="7"/>
  <c r="O81" i="7" s="1"/>
  <c r="O270" i="7"/>
  <c r="O275" i="7"/>
  <c r="O276" i="7"/>
  <c r="O96" i="7" s="1"/>
  <c r="P83" i="5"/>
  <c r="P36" i="7"/>
  <c r="P21" i="7"/>
  <c r="O83" i="5"/>
  <c r="O21" i="7"/>
  <c r="O36" i="7"/>
  <c r="P85" i="5" l="1"/>
  <c r="P84" i="5"/>
  <c r="O95" i="7"/>
  <c r="O277" i="7"/>
  <c r="O80" i="7"/>
  <c r="O272" i="7"/>
  <c r="P95" i="7"/>
  <c r="P277" i="7"/>
  <c r="P80" i="7"/>
  <c r="P272" i="7"/>
  <c r="O85" i="5"/>
  <c r="O84" i="5"/>
  <c r="O279" i="7" l="1"/>
  <c r="O280" i="7" s="1"/>
  <c r="O50" i="7" s="1"/>
  <c r="P279" i="7"/>
  <c r="L355" i="7"/>
  <c r="L382" i="7" s="1"/>
  <c r="L376" i="7"/>
  <c r="L381" i="7" s="1"/>
  <c r="P280" i="7" l="1"/>
  <c r="P50" i="7" s="1"/>
  <c r="L383" i="7"/>
  <c r="L24" i="7" s="1"/>
  <c r="L25" i="7" s="1"/>
  <c r="L288" i="7" s="1"/>
  <c r="L292" i="7" l="1"/>
  <c r="L290" i="7"/>
  <c r="L294" i="7" s="1"/>
  <c r="L27" i="7" l="1"/>
  <c r="L29" i="7" s="1"/>
  <c r="L31" i="7" s="1"/>
  <c r="L296" i="7"/>
  <c r="L298" i="7" s="1"/>
  <c r="L39" i="7" l="1"/>
  <c r="L94" i="5" s="1"/>
  <c r="L88" i="5"/>
  <c r="L47" i="7"/>
  <c r="L52" i="7" s="1"/>
  <c r="L358" i="7" s="1"/>
  <c r="L34" i="7"/>
  <c r="L322" i="7" l="1"/>
  <c r="L90" i="5"/>
  <c r="L89" i="5"/>
  <c r="L323" i="7" l="1"/>
  <c r="L67" i="7" s="1"/>
  <c r="L365" i="7" s="1"/>
  <c r="L367" i="7" s="1"/>
  <c r="L373" i="7" s="1"/>
  <c r="L374" i="7" l="1"/>
  <c r="L61" i="7"/>
  <c r="L69" i="7" s="1"/>
  <c r="L71" i="7" s="1"/>
  <c r="L324" i="7"/>
  <c r="L109" i="7" l="1"/>
  <c r="L111" i="7" s="1"/>
  <c r="M321" i="7"/>
  <c r="L73" i="7"/>
  <c r="L352" i="7"/>
  <c r="L353" i="7" s="1"/>
  <c r="M372" i="7"/>
  <c r="L94" i="7"/>
  <c r="L97" i="7" s="1"/>
  <c r="L105" i="7" s="1"/>
  <c r="M376" i="7"/>
  <c r="M381" i="7" s="1"/>
  <c r="L78" i="7" l="1"/>
  <c r="L82" i="7" s="1"/>
  <c r="L90" i="7" s="1"/>
  <c r="M72" i="7"/>
  <c r="M351" i="7"/>
  <c r="M355" i="7"/>
  <c r="M382" i="7" s="1"/>
  <c r="M383" i="7" s="1"/>
  <c r="M24" i="7" s="1"/>
  <c r="M25" i="7" s="1"/>
  <c r="L113" i="7"/>
  <c r="L115" i="7" s="1"/>
  <c r="L38" i="7"/>
  <c r="L93" i="5" s="1"/>
  <c r="M288" i="7" l="1"/>
  <c r="L41" i="7"/>
  <c r="L96" i="5" s="1"/>
  <c r="L40" i="7"/>
  <c r="L95" i="5" s="1"/>
  <c r="M292" i="7" l="1"/>
  <c r="M290" i="7"/>
  <c r="M294" i="7" s="1"/>
  <c r="M296" i="7" l="1"/>
  <c r="M298" i="7" s="1"/>
  <c r="M27" i="7"/>
  <c r="M29" i="7" s="1"/>
  <c r="M31" i="7" s="1"/>
  <c r="M47" i="7" l="1"/>
  <c r="M52" i="7" s="1"/>
  <c r="M358" i="7" s="1"/>
  <c r="M39" i="7"/>
  <c r="M94" i="5" s="1"/>
  <c r="M88" i="5"/>
  <c r="M34" i="7"/>
  <c r="M90" i="5" l="1"/>
  <c r="M89" i="5"/>
  <c r="M322" i="7"/>
  <c r="M323" i="7" l="1"/>
  <c r="M67" i="7" s="1"/>
  <c r="M365" i="7" s="1"/>
  <c r="M367" i="7" s="1"/>
  <c r="M373" i="7" s="1"/>
  <c r="M324" i="7" l="1"/>
  <c r="M61" i="7"/>
  <c r="M69" i="7" s="1"/>
  <c r="M71" i="7" s="1"/>
  <c r="M374" i="7"/>
  <c r="M94" i="7" l="1"/>
  <c r="M97" i="7" s="1"/>
  <c r="M105" i="7" s="1"/>
  <c r="N372" i="7"/>
  <c r="N376" i="7"/>
  <c r="N381" i="7" s="1"/>
  <c r="M352" i="7"/>
  <c r="M353" i="7" s="1"/>
  <c r="M73" i="7"/>
  <c r="N321" i="7"/>
  <c r="M109" i="7"/>
  <c r="M111" i="7" s="1"/>
  <c r="N355" i="7" l="1"/>
  <c r="N382" i="7" s="1"/>
  <c r="N383" i="7" s="1"/>
  <c r="N24" i="7" s="1"/>
  <c r="N25" i="7" s="1"/>
  <c r="N351" i="7"/>
  <c r="M113" i="7"/>
  <c r="M38" i="7"/>
  <c r="M93" i="5" s="1"/>
  <c r="N72" i="7"/>
  <c r="M78" i="7"/>
  <c r="M82" i="7" s="1"/>
  <c r="M90" i="7" s="1"/>
  <c r="N288" i="7" l="1"/>
  <c r="M41" i="7"/>
  <c r="M96" i="5" s="1"/>
  <c r="M40" i="7"/>
  <c r="M95" i="5" s="1"/>
  <c r="M115" i="7"/>
  <c r="N292" i="7" l="1"/>
  <c r="N290" i="7"/>
  <c r="N294" i="7" s="1"/>
  <c r="N27" i="7" l="1"/>
  <c r="N29" i="7" s="1"/>
  <c r="N31" i="7" s="1"/>
  <c r="N296" i="7"/>
  <c r="N298" i="7" s="1"/>
  <c r="N47" i="7" l="1"/>
  <c r="N52" i="7" s="1"/>
  <c r="N358" i="7" s="1"/>
  <c r="N88" i="5"/>
  <c r="N34" i="7"/>
  <c r="N39" i="7"/>
  <c r="N94" i="5" s="1"/>
  <c r="N322" i="7" l="1"/>
  <c r="N89" i="5"/>
  <c r="N90" i="5"/>
  <c r="N323" i="7" l="1"/>
  <c r="N67" i="7" s="1"/>
  <c r="N365" i="7" s="1"/>
  <c r="N367" i="7" s="1"/>
  <c r="N373" i="7" s="1"/>
  <c r="N324" i="7" l="1"/>
  <c r="N109" i="7" s="1"/>
  <c r="N111" i="7" s="1"/>
  <c r="N61" i="7"/>
  <c r="N69" i="7" s="1"/>
  <c r="N71" i="7" s="1"/>
  <c r="N374" i="7"/>
  <c r="O321" i="7" l="1"/>
  <c r="O372" i="7"/>
  <c r="O376" i="7"/>
  <c r="O381" i="7" s="1"/>
  <c r="N94" i="7"/>
  <c r="N97" i="7" s="1"/>
  <c r="N105" i="7" s="1"/>
  <c r="N113" i="7" s="1"/>
  <c r="N352" i="7"/>
  <c r="N353" i="7" s="1"/>
  <c r="N73" i="7"/>
  <c r="N38" i="7"/>
  <c r="N93" i="5" s="1"/>
  <c r="O351" i="7" l="1"/>
  <c r="O355" i="7"/>
  <c r="O382" i="7" s="1"/>
  <c r="O383" i="7" s="1"/>
  <c r="O24" i="7" s="1"/>
  <c r="O25" i="7" s="1"/>
  <c r="N78" i="7"/>
  <c r="N82" i="7" s="1"/>
  <c r="N90" i="7" s="1"/>
  <c r="O72" i="7"/>
  <c r="O288" i="7" l="1"/>
  <c r="N40" i="7"/>
  <c r="N95" i="5" s="1"/>
  <c r="N41" i="7"/>
  <c r="N96" i="5" s="1"/>
  <c r="N115" i="7"/>
  <c r="O290" i="7" l="1"/>
  <c r="O294" i="7" s="1"/>
  <c r="O292" i="7"/>
  <c r="O296" i="7" l="1"/>
  <c r="O298" i="7" s="1"/>
  <c r="O27" i="7"/>
  <c r="O29" i="7" s="1"/>
  <c r="O31" i="7" s="1"/>
  <c r="O88" i="5" l="1"/>
  <c r="O39" i="7"/>
  <c r="O94" i="5" s="1"/>
  <c r="O34" i="7"/>
  <c r="O47" i="7"/>
  <c r="O52" i="7" s="1"/>
  <c r="O358" i="7" s="1"/>
  <c r="O322" i="7" l="1"/>
  <c r="O90" i="5"/>
  <c r="O89" i="5"/>
  <c r="O323" i="7" l="1"/>
  <c r="O67" i="7" s="1"/>
  <c r="O365" i="7" s="1"/>
  <c r="O367" i="7" s="1"/>
  <c r="O373" i="7" s="1"/>
  <c r="O324" i="7" l="1"/>
  <c r="P321" i="7" s="1"/>
  <c r="O61" i="7"/>
  <c r="O69" i="7" s="1"/>
  <c r="O71" i="7" s="1"/>
  <c r="O374" i="7"/>
  <c r="O109" i="7" l="1"/>
  <c r="O111" i="7" s="1"/>
  <c r="O94" i="7"/>
  <c r="O97" i="7" s="1"/>
  <c r="O105" i="7" s="1"/>
  <c r="O113" i="7" s="1"/>
  <c r="P376" i="7"/>
  <c r="P381" i="7" s="1"/>
  <c r="P372" i="7"/>
  <c r="O352" i="7"/>
  <c r="O353" i="7" s="1"/>
  <c r="O73" i="7"/>
  <c r="O38" i="7"/>
  <c r="O93" i="5" s="1"/>
  <c r="P351" i="7" l="1"/>
  <c r="P355" i="7"/>
  <c r="P382" i="7" s="1"/>
  <c r="P383" i="7" s="1"/>
  <c r="P24" i="7" s="1"/>
  <c r="P25" i="7" s="1"/>
  <c r="P72" i="7"/>
  <c r="O78" i="7"/>
  <c r="O82" i="7" s="1"/>
  <c r="O90" i="7" s="1"/>
  <c r="O115" i="7" s="1"/>
  <c r="P288" i="7" l="1"/>
  <c r="O40" i="7"/>
  <c r="O95" i="5" s="1"/>
  <c r="O41" i="7"/>
  <c r="O96" i="5" s="1"/>
  <c r="P292" i="7" l="1"/>
  <c r="P290" i="7"/>
  <c r="P294" i="7" s="1"/>
  <c r="P296" i="7" l="1"/>
  <c r="P298" i="7" s="1"/>
  <c r="P27" i="7"/>
  <c r="P29" i="7" s="1"/>
  <c r="P31" i="7" s="1"/>
  <c r="P88" i="5" l="1"/>
  <c r="P39" i="7"/>
  <c r="P94" i="5" s="1"/>
  <c r="P47" i="7"/>
  <c r="P52" i="7" s="1"/>
  <c r="P358" i="7" s="1"/>
  <c r="P34" i="7"/>
  <c r="P322" i="7" l="1"/>
  <c r="P89" i="5"/>
  <c r="P90" i="5"/>
  <c r="P323" i="7" l="1"/>
  <c r="P67" i="7" s="1"/>
  <c r="P365" i="7" s="1"/>
  <c r="P367" i="7" s="1"/>
  <c r="P373" i="7" s="1"/>
  <c r="P324" i="7" l="1"/>
  <c r="P109" i="7" s="1"/>
  <c r="P111" i="7" s="1"/>
  <c r="P61" i="7"/>
  <c r="P69" i="7" s="1"/>
  <c r="P71" i="7" s="1"/>
  <c r="P374" i="7"/>
  <c r="P94" i="7" s="1"/>
  <c r="P97" i="7" s="1"/>
  <c r="P105" i="7" s="1"/>
  <c r="P352" i="7" l="1"/>
  <c r="P353" i="7" s="1"/>
  <c r="P73" i="7"/>
  <c r="P78" i="7" s="1"/>
  <c r="P82" i="7" s="1"/>
  <c r="P90" i="7" s="1"/>
  <c r="P113" i="7"/>
  <c r="P38" i="7"/>
  <c r="P93" i="5" s="1"/>
  <c r="P115" i="7" l="1"/>
  <c r="G115" i="7" s="1"/>
  <c r="P40" i="7"/>
  <c r="P95" i="5" s="1"/>
  <c r="P41" i="7"/>
  <c r="P96" i="5" s="1"/>
  <c r="I3" i="5" l="1"/>
  <c r="I3" i="8"/>
  <c r="I3" i="7"/>
  <c r="I3" i="4"/>
  <c r="I3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David</author>
  </authors>
  <commentList>
    <comment ref="R5" authorId="0" shapeId="0" xr:uid="{322F87BB-D91A-43D5-BB35-CE65CEAA7346}">
      <text>
        <r>
          <rPr>
            <b/>
            <sz val="9"/>
            <color indexed="81"/>
            <rFont val="Tahoma"/>
            <family val="2"/>
          </rPr>
          <t>David:</t>
        </r>
        <r>
          <rPr>
            <sz val="9"/>
            <color indexed="81"/>
            <rFont val="Tahoma"/>
            <family val="2"/>
          </rPr>
          <t xml:space="preserve">
If you want to show formulas then select 2 from this drop down.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David</author>
  </authors>
  <commentList>
    <comment ref="R5" authorId="0" shapeId="0" xr:uid="{89DD0A36-E8DC-4062-959E-D3720AAC42BD}">
      <text>
        <r>
          <rPr>
            <b/>
            <sz val="9"/>
            <color indexed="81"/>
            <rFont val="Tahoma"/>
            <family val="2"/>
          </rPr>
          <t>David:</t>
        </r>
        <r>
          <rPr>
            <sz val="9"/>
            <color indexed="81"/>
            <rFont val="Tahoma"/>
            <family val="2"/>
          </rPr>
          <t xml:space="preserve">
If you want to show formulas then select 2 from this drop down. 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<sst xmlns="http://schemas.openxmlformats.org/spreadsheetml/2006/main" count="747" uniqueCount="272">
  <si>
    <t>Xcel Stores &amp; Properties</t>
  </si>
  <si>
    <t>Income Statement</t>
  </si>
  <si>
    <t>Millions for the Year Ended December 31</t>
  </si>
  <si>
    <t>Revenue Growth</t>
  </si>
  <si>
    <t>COGS (% of revenue)</t>
  </si>
  <si>
    <t>SG&amp;A (% of revenue)</t>
  </si>
  <si>
    <t>Revenue</t>
  </si>
  <si>
    <t>Operating Costs</t>
  </si>
  <si>
    <t>SG&amp;A</t>
  </si>
  <si>
    <t>Total Costs</t>
  </si>
  <si>
    <t>Cost Adjustments - Gain / (Loss)</t>
  </si>
  <si>
    <t>EBITDA</t>
  </si>
  <si>
    <t>Depreciation</t>
  </si>
  <si>
    <t>EBIT</t>
  </si>
  <si>
    <t>Net Interest Expense</t>
  </si>
  <si>
    <t>EBT</t>
  </si>
  <si>
    <t>Current Taxes</t>
  </si>
  <si>
    <t>Deferred Income Taxes</t>
  </si>
  <si>
    <t>Total Income Taxes</t>
  </si>
  <si>
    <t>Net Income</t>
  </si>
  <si>
    <t>Preferred Dividend</t>
  </si>
  <si>
    <t>Net Income to Common</t>
  </si>
  <si>
    <t>Cash Flow Statement</t>
  </si>
  <si>
    <t>Operating Activities</t>
  </si>
  <si>
    <t>Changes in Working Capital</t>
  </si>
  <si>
    <t>Other</t>
  </si>
  <si>
    <t>Operating Cash Flow</t>
  </si>
  <si>
    <t>Investing Activities</t>
  </si>
  <si>
    <t>CAPEX</t>
  </si>
  <si>
    <t>Asset Dispositions</t>
  </si>
  <si>
    <t>Investing Cash Flow</t>
  </si>
  <si>
    <t>Financing Activities</t>
  </si>
  <si>
    <t>Revolver Issuance / (Repayment)</t>
  </si>
  <si>
    <t>Variable Rate Long Term Debt Issuance / (Repayment)</t>
  </si>
  <si>
    <t>Fixed Rate Long Term Debt Issuance / (Repayment)</t>
  </si>
  <si>
    <t>Preferred Share Issuance / (Buy-Back)</t>
  </si>
  <si>
    <t>Common Share Issuance / (Buy-Back)</t>
  </si>
  <si>
    <t>Preferred Share Dividends</t>
  </si>
  <si>
    <t>Common Share Dividends</t>
  </si>
  <si>
    <t>Financing Cash Flow</t>
  </si>
  <si>
    <t>Change in Cash Position</t>
  </si>
  <si>
    <t>Beginning Cash</t>
  </si>
  <si>
    <t>Ending Cash</t>
  </si>
  <si>
    <t>Balance Sheet</t>
  </si>
  <si>
    <t>ASSETS</t>
  </si>
  <si>
    <t>Cash and Equivalents</t>
  </si>
  <si>
    <t>Accounts Receivable</t>
  </si>
  <si>
    <t>Inventory</t>
  </si>
  <si>
    <t>Other Current Assets</t>
  </si>
  <si>
    <t>Total Current Assets</t>
  </si>
  <si>
    <t>Net PP&amp;E</t>
  </si>
  <si>
    <t>Goodwill</t>
  </si>
  <si>
    <t>Intangibles</t>
  </si>
  <si>
    <t>Other Long term Assets</t>
  </si>
  <si>
    <t>Total Long Term Assets</t>
  </si>
  <si>
    <t>Total Assets</t>
  </si>
  <si>
    <t>LIABILITIES AND EQUITY</t>
  </si>
  <si>
    <t>Bank Debt - Revolver</t>
  </si>
  <si>
    <t>Accounts Payable</t>
  </si>
  <si>
    <t>Other Current Liabilities</t>
  </si>
  <si>
    <t>Total Current Liabilities</t>
  </si>
  <si>
    <t>Variable Rate Long Term Debt</t>
  </si>
  <si>
    <t>Fixed Rate Long Term Debt</t>
  </si>
  <si>
    <t>Other Longterm Liabilities</t>
  </si>
  <si>
    <t>Total Long Term Liabilities</t>
  </si>
  <si>
    <t>Total Liabilities</t>
  </si>
  <si>
    <t>Preferred Shares</t>
  </si>
  <si>
    <t>Common Shares</t>
  </si>
  <si>
    <t>Retained Earnings</t>
  </si>
  <si>
    <t>Other Shareholder equity</t>
  </si>
  <si>
    <t>Shareholder's Equity</t>
  </si>
  <si>
    <t>Total Liabilities and Equity</t>
  </si>
  <si>
    <t>Version</t>
  </si>
  <si>
    <t>V1.01</t>
  </si>
  <si>
    <t xml:space="preserve">Modeller: </t>
  </si>
  <si>
    <t xml:space="preserve">Circularity in the Model: </t>
  </si>
  <si>
    <t>Circularity Switch&gt;&gt;&gt;&gt;&gt;</t>
  </si>
  <si>
    <t>© This Model is a copyright material of dbrownconsulting. It is solely for educational purpose and should not be used otherwise without prior written permission.</t>
  </si>
  <si>
    <t>Executive Summary</t>
  </si>
  <si>
    <t>Actual</t>
  </si>
  <si>
    <t>Forecast</t>
  </si>
  <si>
    <t>units</t>
  </si>
  <si>
    <t>Inputs/drivers</t>
  </si>
  <si>
    <t>Analysis Based on: Base Case Scenario</t>
  </si>
  <si>
    <t>Net Revenue</t>
  </si>
  <si>
    <t>$MM</t>
  </si>
  <si>
    <t>Growth Rate</t>
  </si>
  <si>
    <t>%</t>
  </si>
  <si>
    <t>EBITDA Margin</t>
  </si>
  <si>
    <t>EBITDA growth rate</t>
  </si>
  <si>
    <t>Net Income Margin</t>
  </si>
  <si>
    <t>Net Income Growth rate</t>
  </si>
  <si>
    <t>Dupont Analysis</t>
  </si>
  <si>
    <t>Return on Equity</t>
  </si>
  <si>
    <t>Net Profit Margin</t>
  </si>
  <si>
    <t>Asset Turnover</t>
  </si>
  <si>
    <t>Multiple</t>
  </si>
  <si>
    <t>Financial Leverage</t>
  </si>
  <si>
    <t>Analysis Based on: Best Case Scenario</t>
  </si>
  <si>
    <t>Analysis Based on: Worst Case Scenario</t>
  </si>
  <si>
    <t>Summary Generator</t>
  </si>
  <si>
    <t>Assumptions</t>
  </si>
  <si>
    <t>General Assumptions</t>
  </si>
  <si>
    <t>Days in the period</t>
  </si>
  <si>
    <t>Days</t>
  </si>
  <si>
    <t>Million</t>
  </si>
  <si>
    <t>Constant</t>
  </si>
  <si>
    <t>Styles</t>
  </si>
  <si>
    <t>Normal Style</t>
  </si>
  <si>
    <t>Number</t>
  </si>
  <si>
    <t>Input Style</t>
  </si>
  <si>
    <t>Percent Style</t>
  </si>
  <si>
    <t>Percent</t>
  </si>
  <si>
    <t>Linked Cell Style</t>
  </si>
  <si>
    <t>Heading</t>
  </si>
  <si>
    <t>Text</t>
  </si>
  <si>
    <t>Explanatory</t>
  </si>
  <si>
    <t xml:space="preserve">Multiple </t>
  </si>
  <si>
    <t>Revenue Assumption</t>
  </si>
  <si>
    <t>Sales Volume</t>
  </si>
  <si>
    <t>Total Numbers of Properties</t>
  </si>
  <si>
    <t>unit</t>
  </si>
  <si>
    <t>Square feet</t>
  </si>
  <si>
    <t>Sales Price</t>
  </si>
  <si>
    <t>Rent growth</t>
  </si>
  <si>
    <t>Auxilliary Income</t>
  </si>
  <si>
    <t>$'MM</t>
  </si>
  <si>
    <t>Inflation</t>
  </si>
  <si>
    <t>Operating Cost Assumption</t>
  </si>
  <si>
    <t>Cost of Sales [%]</t>
  </si>
  <si>
    <t>Variable Cost</t>
  </si>
  <si>
    <t>Fixed Cost</t>
  </si>
  <si>
    <t>Total</t>
  </si>
  <si>
    <t>Selling, General &amp; Administrative Expenses</t>
  </si>
  <si>
    <t>CAPEX &amp; Depreciation Assumption</t>
  </si>
  <si>
    <t>CAPEX Addition</t>
  </si>
  <si>
    <t>Depreciation Method</t>
  </si>
  <si>
    <t>Declining Balance Method</t>
  </si>
  <si>
    <t>Useful Life</t>
  </si>
  <si>
    <t>Existing Assets</t>
  </si>
  <si>
    <t>Years</t>
  </si>
  <si>
    <t>New Assets</t>
  </si>
  <si>
    <t>Working Capital Assumption</t>
  </si>
  <si>
    <t>Extracts from the Financials</t>
  </si>
  <si>
    <t>Current Assets [$]</t>
  </si>
  <si>
    <t>Current Liabilities [$]</t>
  </si>
  <si>
    <t>Current Assets [days]</t>
  </si>
  <si>
    <t>days</t>
  </si>
  <si>
    <t>Current Liabilities [days]</t>
  </si>
  <si>
    <t>Income Tax Assumption</t>
  </si>
  <si>
    <t>Company Tax Rate</t>
  </si>
  <si>
    <t>Reduction due to timing difference</t>
  </si>
  <si>
    <t>Debt Assumption</t>
  </si>
  <si>
    <t>Interest Rates</t>
  </si>
  <si>
    <t>Fixed Rate Longterm Debt</t>
  </si>
  <si>
    <t>Revolver</t>
  </si>
  <si>
    <t>Variable Rate longterm debt</t>
  </si>
  <si>
    <t>Interest at a variable rate</t>
  </si>
  <si>
    <t>Interest Rate on Variable rate longterm debt</t>
  </si>
  <si>
    <t>Excess Cash</t>
  </si>
  <si>
    <t>Amortization on fixed rate longterm debt</t>
  </si>
  <si>
    <t>Amortization on Variable rate longterm debts</t>
  </si>
  <si>
    <t xml:space="preserve">The Company will draw on its revolver if it ever has a cash shortfall. </t>
  </si>
  <si>
    <t>Equity Assumption</t>
  </si>
  <si>
    <t>Common Shares: Issuance/(Buyback)</t>
  </si>
  <si>
    <t>Dividend Payout ratio</t>
  </si>
  <si>
    <t>Preference Shares</t>
  </si>
  <si>
    <t>Preference Shares: Issuance/(Buyback)</t>
  </si>
  <si>
    <t>Dividend Yield</t>
  </si>
  <si>
    <t>Other Assumptions</t>
  </si>
  <si>
    <t>Other Operating Activities</t>
  </si>
  <si>
    <t>Other Investing Activities</t>
  </si>
  <si>
    <t>Assets diposition</t>
  </si>
  <si>
    <t>Other Financing Activities</t>
  </si>
  <si>
    <t>Other Shareholders Equity</t>
  </si>
  <si>
    <t>Scenario Analysis</t>
  </si>
  <si>
    <t>Scenario Switch&gt;&gt;&gt;&gt;</t>
  </si>
  <si>
    <t>Scenario List</t>
  </si>
  <si>
    <t>Base Case</t>
  </si>
  <si>
    <t>Best Case</t>
  </si>
  <si>
    <t>Worst Case</t>
  </si>
  <si>
    <t>Inflation Scenario</t>
  </si>
  <si>
    <t>Used in the Model</t>
  </si>
  <si>
    <t>Rent Growth Scenario</t>
  </si>
  <si>
    <t>Additional Properties Scenario</t>
  </si>
  <si>
    <t>Model</t>
  </si>
  <si>
    <t>Financial Statements</t>
  </si>
  <si>
    <t>Income Statements</t>
  </si>
  <si>
    <t>Cashflow Statements</t>
  </si>
  <si>
    <t>Balance Check</t>
  </si>
  <si>
    <t>Schedules and Calculations</t>
  </si>
  <si>
    <t>Revenue Schedule</t>
  </si>
  <si>
    <t>Properties per Square metres</t>
  </si>
  <si>
    <t>Sqf/unit</t>
  </si>
  <si>
    <t>Core Revenue (Gross Revenue)</t>
  </si>
  <si>
    <t>Auxilliary Revenue</t>
  </si>
  <si>
    <t>Operating Cost Schedule</t>
  </si>
  <si>
    <t>Cost of Sales [units]</t>
  </si>
  <si>
    <t>Cost of Sales [$]</t>
  </si>
  <si>
    <t>CAPEX and Depreciation Schedule</t>
  </si>
  <si>
    <t>Extract from Financials</t>
  </si>
  <si>
    <t>Depreciation of Existing Assets</t>
  </si>
  <si>
    <t>Method 1: Left to Right Consistent But Not Totally Dynamic</t>
  </si>
  <si>
    <t>Depreciation of New Assets</t>
  </si>
  <si>
    <t>Additions</t>
  </si>
  <si>
    <t>Method 2: Dynamic Approach</t>
  </si>
  <si>
    <t>Method 3: Simple Approach But Not Left to Right Consistent</t>
  </si>
  <si>
    <t>Total Depreciation</t>
  </si>
  <si>
    <t>Property, Plant &amp; Equipment Schedule</t>
  </si>
  <si>
    <t>Beginning</t>
  </si>
  <si>
    <t>Add: CAPEX</t>
  </si>
  <si>
    <t>Sub: Depreciation</t>
  </si>
  <si>
    <t>Ending Balance</t>
  </si>
  <si>
    <t>Working Capital Schedule</t>
  </si>
  <si>
    <t>Extracts from Financials</t>
  </si>
  <si>
    <t>Operating Working Capital [days]</t>
  </si>
  <si>
    <t>Operating Working Capital [$]</t>
  </si>
  <si>
    <t>Operating Working Capital (OWC)</t>
  </si>
  <si>
    <t>Changes in Operating Working Capital</t>
  </si>
  <si>
    <t>Income Tax Schedule</t>
  </si>
  <si>
    <t>Extract from financials</t>
  </si>
  <si>
    <t>Accounting: EBT</t>
  </si>
  <si>
    <t>Government: EBT</t>
  </si>
  <si>
    <t>Accounting Tax</t>
  </si>
  <si>
    <t>Current Tax</t>
  </si>
  <si>
    <t>Deferred Tax</t>
  </si>
  <si>
    <t>Total Tax</t>
  </si>
  <si>
    <t>Check</t>
  </si>
  <si>
    <t>Equity Schedule</t>
  </si>
  <si>
    <t>Beginning Balance</t>
  </si>
  <si>
    <t>Change: Common Shares Issuance/(buyback)</t>
  </si>
  <si>
    <t>Change: Preference Shares Issuance/(buyback)</t>
  </si>
  <si>
    <t>Add: Net Income to common</t>
  </si>
  <si>
    <t>Sub: Dividend</t>
  </si>
  <si>
    <t>Debt Schedule</t>
  </si>
  <si>
    <t>Fixed Senior Secured debt</t>
  </si>
  <si>
    <t>Sub: Amortization on fixed senior secured debt</t>
  </si>
  <si>
    <t>Ending balance</t>
  </si>
  <si>
    <t>Interest Expense</t>
  </si>
  <si>
    <t>Variable rate long term debts</t>
  </si>
  <si>
    <t>Sub: Amortization on variable rate longterm debt</t>
  </si>
  <si>
    <t>Interest Rate on Excess Cash</t>
  </si>
  <si>
    <t>Change in cash position</t>
  </si>
  <si>
    <t>Interest Income</t>
  </si>
  <si>
    <t>Cash Sweep</t>
  </si>
  <si>
    <t>FCF after all mandatory debt repayment and  dividends</t>
  </si>
  <si>
    <t xml:space="preserve">Revolver </t>
  </si>
  <si>
    <t>Interest Expense: Fixed Rate Long tern debt</t>
  </si>
  <si>
    <t>Interest Expense: Variable rate long term debt</t>
  </si>
  <si>
    <t>Interest Expense: revolver</t>
  </si>
  <si>
    <t>Interest Income: Excess cash</t>
  </si>
  <si>
    <t>Sheet Name</t>
  </si>
  <si>
    <t>Year</t>
  </si>
  <si>
    <t>SOFR Benchmark Rate</t>
  </si>
  <si>
    <t>Current Leasable Areas</t>
  </si>
  <si>
    <t>Total Square feet per Property</t>
  </si>
  <si>
    <t>Total Land Stock</t>
  </si>
  <si>
    <t>Land currently Built up</t>
  </si>
  <si>
    <t>Land available for new property</t>
  </si>
  <si>
    <t>Maximum number of new property Units (Capacity)</t>
  </si>
  <si>
    <t>Maximum Capacity for new Property</t>
  </si>
  <si>
    <t>Capacity Limits</t>
  </si>
  <si>
    <t>Additional Properties Assumption</t>
  </si>
  <si>
    <t>Opening Balance</t>
  </si>
  <si>
    <t>Closing Balance</t>
  </si>
  <si>
    <t>Property Stock Schedule</t>
  </si>
  <si>
    <t>Actual Additional Property Built</t>
  </si>
  <si>
    <t>New Debt / (Repayment)</t>
  </si>
  <si>
    <t>Foreign Exchange - Gain / (Loss)</t>
  </si>
  <si>
    <t>Method 4: DDB Function method (this cannot incorporate the half year adjustment for Year one)</t>
  </si>
  <si>
    <t>Other Long term Liabilities</t>
  </si>
  <si>
    <t>Animashaun Jafar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</si>
</sst>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164" formatCode="_(* #,##0.00_);_(* \(#,##0.00\);_(* &quot;-&quot;??_);_(@_)"/>
    <numFmt numFmtId="165" formatCode="&quot;$&quot;#,##0_);[Red]\(&quot;$&quot;#,##0\)"/>
    <numFmt numFmtId="166" formatCode="0.0%;\(0.0%\)"/>
    <numFmt numFmtId="167" formatCode="#,##0.0_);\(#,##0.0\)"/>
    <numFmt numFmtId="168" formatCode="_(* #,##0_);_(* \(#,##0\);_(* &quot;-&quot;??_);_(@_)"/>
    <numFmt numFmtId="169" formatCode="0%;\(0%\)"/>
    <numFmt numFmtId="170" formatCode="0\A"/>
    <numFmt numFmtId="171" formatCode="0.00%_);[Red]\(0.00%\)"/>
    <numFmt numFmtId="172" formatCode="#,##0.0000_);\(#,##0.0000\)"/>
    <numFmt numFmtId="173" formatCode="#,##0.000_);\(#,##0.000\)"/>
    <numFmt numFmtId="174" formatCode="_(* #,##0.0_);_(* \(#,##0.0\);_(* &quot;-&quot;??_);_(@_)"/>
    <numFmt numFmtId="175" formatCode="#,##0.00000_);\(#,##0.00000\)"/>
    <numFmt numFmtId="176" formatCode="[=1]\ &quot;Yes&quot;;[=2]\ \ &quot;No&quot;"/>
    <numFmt numFmtId="177" formatCode="0\F"/>
    <numFmt numFmtId="178" formatCode="0.00&quot;X&quot;"/>
    <numFmt numFmtId="179" formatCode="#,##0.00_);[Red]\(#,##0.00\);\-"/>
    <numFmt numFmtId="180" formatCode="#,##0.00_);[Red]\(#,##0.00\);"/>
    <numFmt numFmtId="181" formatCode="0.00000%_);[Red]\(0.00000%\)"/>
    <numFmt numFmtId="182" formatCode="0.0000000%_);[Red]\(0.0000000%\)"/>
    <numFmt numFmtId="183" formatCode="0.00&quot;x&quot;"/>
  </numFmts>
  <fonts count="30">
    <font>
      <sz val="10"/>
      <name val="Arial"/>
      <family val="2"/>
    </font>
    <font>
      <sz val="10"/>
      <name val="Arial"/>
      <family val="2"/>
    </font>
    <font>
      <b/>
      <sz val="18"/>
      <name val="Calibri"/>
      <family val="2"/>
      <scheme val="minor"/>
    </font>
    <font>
      <sz val="10"/>
      <name val="Calibri"/>
      <family val="2"/>
      <scheme val="minor"/>
    </font>
    <font>
      <b/>
      <sz val="14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name val="Calibri"/>
      <family val="2"/>
      <scheme val="minor"/>
    </font>
    <font>
      <b/>
      <u/>
      <sz val="10"/>
      <name val="Calibri"/>
      <family val="2"/>
      <scheme val="minor"/>
    </font>
    <font>
      <sz val="9"/>
      <name val="Calibri"/>
      <family val="2"/>
      <scheme val="minor"/>
    </font>
    <font>
      <b/>
      <u/>
      <sz val="9"/>
      <name val="Calibri"/>
      <family val="2"/>
      <scheme val="minor"/>
    </font>
    <font>
      <sz val="10"/>
      <name val="Aldine401 BT"/>
    </font>
    <font>
      <b/>
      <sz val="10"/>
      <color rgb="FF0000FF"/>
      <name val="Calibri"/>
      <family val="2"/>
      <scheme val="minor"/>
    </font>
    <font>
      <sz val="10"/>
      <color indexed="12"/>
      <name val="Calibri"/>
      <family val="2"/>
      <scheme val="minor"/>
    </font>
    <font>
      <vertAlign val="superscript"/>
      <sz val="7"/>
      <name val="Calibri"/>
      <family val="2"/>
      <scheme val="minor"/>
    </font>
    <font>
      <sz val="10"/>
      <color rgb="FF0000FF"/>
      <name val="Calibri"/>
      <family val="2"/>
      <scheme val="minor"/>
    </font>
    <font>
      <b/>
      <i/>
      <sz val="10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0"/>
      <name val="Arial"/>
      <family val="2"/>
    </font>
    <font>
      <sz val="9"/>
      <name val="Arial"/>
      <family val="2"/>
    </font>
    <font>
      <sz val="9"/>
      <color rgb="FFFF0000"/>
      <name val="Arial"/>
      <family val="2"/>
    </font>
    <font>
      <b/>
      <sz val="18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i/>
      <sz val="9"/>
      <color rgb="FF7F7F7F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dashed">
        <color theme="1"/>
      </left>
      <right style="dashed">
        <color theme="1"/>
      </right>
      <top style="dashed">
        <color theme="1"/>
      </top>
      <bottom style="dashed">
        <color theme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ashed">
        <color theme="1"/>
      </left>
      <right style="dashed">
        <color theme="1"/>
      </right>
      <top style="thin">
        <color indexed="64"/>
      </top>
      <bottom style="thin">
        <color indexed="64"/>
      </bottom>
      <diagonal/>
    </border>
    <border>
      <left style="dashed">
        <color theme="1"/>
      </left>
      <right style="dashed">
        <color theme="1"/>
      </right>
      <top style="dashed">
        <color theme="1"/>
      </top>
      <bottom style="thin">
        <color indexed="64"/>
      </bottom>
      <diagonal/>
    </border>
    <border>
      <left/>
      <right/>
      <top style="dashed">
        <color theme="1"/>
      </top>
      <bottom style="medium">
        <color indexed="64"/>
      </bottom>
      <diagonal/>
    </border>
  </borders>
  <cellStyleXfs count="11">
    <xf numFmtId="40" fontId="0" fillId="0" borderId="0" applyFill="0" applyBorder="0"/>
    <xf numFmtId="164" fontId="10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16" fillId="2" borderId="0" applyNumberFormat="0" applyBorder="0" applyAlignment="0" applyProtection="0"/>
    <xf numFmtId="0" fontId="17" fillId="3" borderId="0" applyNumberFormat="0" applyBorder="0" applyAlignment="0" applyProtection="0"/>
    <xf numFmtId="0" fontId="18" fillId="4" borderId="0" applyNumberFormat="0" applyBorder="0" applyAlignment="0" applyProtection="0"/>
    <xf numFmtId="0" fontId="19" fillId="7" borderId="18" applyNumberFormat="0" applyFont="0" applyAlignment="0" applyProtection="0"/>
    <xf numFmtId="0" fontId="20" fillId="5" borderId="15" applyNumberFormat="0" applyAlignment="0" applyProtection="0"/>
    <xf numFmtId="0" fontId="26" fillId="0" borderId="19" applyNumberFormat="0" applyFont="0" applyFill="0" applyAlignment="0" applyProtection="0"/>
    <xf numFmtId="0" fontId="27" fillId="0" borderId="0" applyNumberFormat="0" applyFill="0" applyBorder="0" applyAlignment="0" applyProtection="0"/>
    <xf numFmtId="183" fontId="1" fillId="0" borderId="0" applyFont="0" applyFill="0" applyBorder="0" applyAlignment="0" applyProtection="0"/>
  </cellStyleXfs>
  <cellXfs count="144">
    <xf numFmtId="40" fontId="0" fillId="0" borderId="0" xfId="0"/>
    <xf numFmtId="171" fontId="0" fillId="7" borderId="18" xfId="2" applyFont="1" applyFill="1" applyBorder="1"/>
    <xf numFmtId="40" fontId="2" fillId="0" borderId="0" xfId="0" applyFont="1" applyAlignment="1">
      <alignment horizontal="centerContinuous"/>
    </xf>
    <xf numFmtId="40" fontId="3" fillId="0" borderId="0" xfId="0" applyFont="1"/>
    <xf numFmtId="40" fontId="4" fillId="0" borderId="0" xfId="0" applyFont="1" applyAlignment="1">
      <alignment horizontal="centerContinuous"/>
    </xf>
    <xf numFmtId="40" fontId="4" fillId="0" borderId="1" xfId="0" applyFont="1" applyBorder="1" applyAlignment="1">
      <alignment horizontal="centerContinuous"/>
    </xf>
    <xf numFmtId="40" fontId="5" fillId="0" borderId="0" xfId="0" quotePrefix="1" applyFont="1"/>
    <xf numFmtId="40" fontId="6" fillId="0" borderId="0" xfId="0" applyFont="1" applyAlignment="1">
      <alignment horizontal="centerContinuous"/>
    </xf>
    <xf numFmtId="40" fontId="7" fillId="0" borderId="0" xfId="0" applyFont="1"/>
    <xf numFmtId="1" fontId="7" fillId="0" borderId="0" xfId="0" quotePrefix="1" applyNumberFormat="1" applyFont="1" applyAlignment="1">
      <alignment horizontal="right"/>
    </xf>
    <xf numFmtId="40" fontId="8" fillId="0" borderId="2" xfId="0" applyFont="1" applyBorder="1" applyAlignment="1">
      <alignment horizontal="left" vertical="center"/>
    </xf>
    <xf numFmtId="40" fontId="8" fillId="0" borderId="3" xfId="0" applyFont="1" applyBorder="1"/>
    <xf numFmtId="40" fontId="9" fillId="0" borderId="3" xfId="0" applyFont="1" applyBorder="1"/>
    <xf numFmtId="166" fontId="8" fillId="0" borderId="3" xfId="0" applyNumberFormat="1" applyFont="1" applyBorder="1"/>
    <xf numFmtId="166" fontId="8" fillId="0" borderId="4" xfId="0" applyNumberFormat="1" applyFont="1" applyBorder="1"/>
    <xf numFmtId="40" fontId="8" fillId="0" borderId="5" xfId="0" applyFont="1" applyBorder="1" applyAlignment="1">
      <alignment horizontal="left" vertical="center"/>
    </xf>
    <xf numFmtId="40" fontId="8" fillId="0" borderId="0" xfId="0" applyFont="1"/>
    <xf numFmtId="40" fontId="9" fillId="0" borderId="0" xfId="0" applyFont="1"/>
    <xf numFmtId="166" fontId="8" fillId="0" borderId="0" xfId="0" applyNumberFormat="1" applyFont="1"/>
    <xf numFmtId="166" fontId="8" fillId="0" borderId="6" xfId="0" applyNumberFormat="1" applyFont="1" applyBorder="1"/>
    <xf numFmtId="40" fontId="8" fillId="0" borderId="7" xfId="0" applyFont="1" applyBorder="1" applyAlignment="1">
      <alignment horizontal="left" vertical="center"/>
    </xf>
    <xf numFmtId="40" fontId="8" fillId="0" borderId="8" xfId="0" applyFont="1" applyBorder="1"/>
    <xf numFmtId="40" fontId="9" fillId="0" borderId="8" xfId="0" applyFont="1" applyBorder="1"/>
    <xf numFmtId="166" fontId="8" fillId="0" borderId="8" xfId="0" applyNumberFormat="1" applyFont="1" applyBorder="1"/>
    <xf numFmtId="166" fontId="8" fillId="0" borderId="9" xfId="0" applyNumberFormat="1" applyFont="1" applyBorder="1"/>
    <xf numFmtId="40" fontId="6" fillId="0" borderId="0" xfId="0" applyFont="1"/>
    <xf numFmtId="167" fontId="11" fillId="0" borderId="0" xfId="1" applyNumberFormat="1" applyFont="1" applyAlignment="1" applyProtection="1">
      <alignment horizontal="right"/>
      <protection locked="0"/>
    </xf>
    <xf numFmtId="167" fontId="12" fillId="0" borderId="0" xfId="1" applyNumberFormat="1" applyFont="1" applyAlignment="1" applyProtection="1">
      <alignment horizontal="right"/>
      <protection locked="0"/>
    </xf>
    <xf numFmtId="40" fontId="3" fillId="0" borderId="0" xfId="0" quotePrefix="1" applyFont="1" applyAlignment="1">
      <alignment horizontal="left"/>
    </xf>
    <xf numFmtId="167" fontId="12" fillId="0" borderId="10" xfId="1" applyNumberFormat="1" applyFont="1" applyBorder="1" applyAlignment="1" applyProtection="1">
      <alignment horizontal="right"/>
      <protection locked="0"/>
    </xf>
    <xf numFmtId="40" fontId="6" fillId="0" borderId="0" xfId="0" quotePrefix="1" applyFont="1" applyAlignment="1">
      <alignment horizontal="left"/>
    </xf>
    <xf numFmtId="167" fontId="6" fillId="0" borderId="0" xfId="1" applyNumberFormat="1" applyFont="1" applyAlignment="1">
      <alignment horizontal="right"/>
    </xf>
    <xf numFmtId="167" fontId="6" fillId="0" borderId="0" xfId="1" applyNumberFormat="1" applyFont="1"/>
    <xf numFmtId="167" fontId="12" fillId="0" borderId="10" xfId="1" applyNumberFormat="1" applyFont="1" applyBorder="1" applyProtection="1">
      <protection locked="0"/>
    </xf>
    <xf numFmtId="167" fontId="12" fillId="0" borderId="0" xfId="1" applyNumberFormat="1" applyFont="1" applyProtection="1">
      <protection locked="0"/>
    </xf>
    <xf numFmtId="40" fontId="3" fillId="0" borderId="0" xfId="0" applyFont="1" applyAlignment="1">
      <alignment horizontal="left"/>
    </xf>
    <xf numFmtId="40" fontId="6" fillId="0" borderId="0" xfId="0" applyFont="1" applyAlignment="1">
      <alignment horizontal="left"/>
    </xf>
    <xf numFmtId="167" fontId="3" fillId="0" borderId="0" xfId="0" applyNumberFormat="1" applyFont="1"/>
    <xf numFmtId="165" fontId="6" fillId="0" borderId="0" xfId="0" quotePrefix="1" applyNumberFormat="1" applyFont="1" applyAlignment="1">
      <alignment horizontal="left"/>
    </xf>
    <xf numFmtId="167" fontId="6" fillId="0" borderId="11" xfId="1" applyNumberFormat="1" applyFont="1" applyBorder="1" applyAlignment="1">
      <alignment horizontal="right"/>
    </xf>
    <xf numFmtId="165" fontId="3" fillId="0" borderId="0" xfId="0" quotePrefix="1" applyNumberFormat="1" applyFont="1" applyAlignment="1">
      <alignment horizontal="left"/>
    </xf>
    <xf numFmtId="167" fontId="6" fillId="0" borderId="12" xfId="1" applyNumberFormat="1" applyFont="1" applyBorder="1" applyAlignment="1">
      <alignment horizontal="right"/>
    </xf>
    <xf numFmtId="40" fontId="3" fillId="0" borderId="10" xfId="0" applyFont="1" applyBorder="1"/>
    <xf numFmtId="168" fontId="3" fillId="0" borderId="10" xfId="1" applyNumberFormat="1" applyFont="1" applyBorder="1"/>
    <xf numFmtId="40" fontId="13" fillId="0" borderId="0" xfId="0" quotePrefix="1" applyFont="1"/>
    <xf numFmtId="169" fontId="5" fillId="0" borderId="0" xfId="0" applyNumberFormat="1" applyFont="1"/>
    <xf numFmtId="168" fontId="3" fillId="0" borderId="0" xfId="1" applyNumberFormat="1" applyFont="1"/>
    <xf numFmtId="40" fontId="3" fillId="0" borderId="0" xfId="0" applyFont="1" applyAlignment="1">
      <alignment horizontal="centerContinuous"/>
    </xf>
    <xf numFmtId="40" fontId="3" fillId="0" borderId="1" xfId="0" applyFont="1" applyBorder="1" applyAlignment="1">
      <alignment horizontal="centerContinuous"/>
    </xf>
    <xf numFmtId="40" fontId="5" fillId="0" borderId="0" xfId="0" quotePrefix="1" applyFont="1" applyAlignment="1">
      <alignment horizontal="left"/>
    </xf>
    <xf numFmtId="170" fontId="7" fillId="0" borderId="0" xfId="0" applyNumberFormat="1" applyFont="1" applyAlignment="1">
      <alignment horizontal="right"/>
    </xf>
    <xf numFmtId="37" fontId="3" fillId="0" borderId="0" xfId="1" applyNumberFormat="1" applyFont="1"/>
    <xf numFmtId="167" fontId="14" fillId="0" borderId="0" xfId="1" applyNumberFormat="1" applyFont="1" applyProtection="1">
      <protection locked="0"/>
    </xf>
    <xf numFmtId="37" fontId="12" fillId="0" borderId="0" xfId="1" applyNumberFormat="1" applyFont="1"/>
    <xf numFmtId="167" fontId="14" fillId="0" borderId="10" xfId="1" applyNumberFormat="1" applyFont="1" applyBorder="1" applyAlignment="1" applyProtection="1">
      <alignment horizontal="right"/>
      <protection locked="0"/>
    </xf>
    <xf numFmtId="37" fontId="6" fillId="0" borderId="0" xfId="1" applyNumberFormat="1" applyFont="1"/>
    <xf numFmtId="167" fontId="6" fillId="0" borderId="0" xfId="1" applyNumberFormat="1" applyFont="1" applyProtection="1">
      <protection locked="0"/>
    </xf>
    <xf numFmtId="171" fontId="3" fillId="0" borderId="0" xfId="2" applyFont="1"/>
    <xf numFmtId="167" fontId="3" fillId="0" borderId="0" xfId="1" applyNumberFormat="1" applyFont="1"/>
    <xf numFmtId="167" fontId="3" fillId="0" borderId="10" xfId="1" applyNumberFormat="1" applyFont="1" applyBorder="1"/>
    <xf numFmtId="40" fontId="15" fillId="0" borderId="0" xfId="0" applyFont="1" applyAlignment="1">
      <alignment horizontal="centerContinuous"/>
    </xf>
    <xf numFmtId="40" fontId="5" fillId="0" borderId="0" xfId="0" applyFont="1" applyAlignment="1">
      <alignment horizontal="left"/>
    </xf>
    <xf numFmtId="167" fontId="14" fillId="0" borderId="0" xfId="0" applyNumberFormat="1" applyFont="1"/>
    <xf numFmtId="167" fontId="3" fillId="0" borderId="13" xfId="1" applyNumberFormat="1" applyFont="1" applyBorder="1"/>
    <xf numFmtId="172" fontId="3" fillId="0" borderId="0" xfId="1" applyNumberFormat="1" applyFont="1"/>
    <xf numFmtId="167" fontId="6" fillId="0" borderId="14" xfId="1" applyNumberFormat="1" applyFont="1" applyBorder="1"/>
    <xf numFmtId="173" fontId="12" fillId="0" borderId="0" xfId="1" applyNumberFormat="1" applyFont="1"/>
    <xf numFmtId="174" fontId="3" fillId="0" borderId="0" xfId="1" applyNumberFormat="1" applyFont="1"/>
    <xf numFmtId="40" fontId="5" fillId="0" borderId="10" xfId="0" quotePrefix="1" applyFont="1" applyBorder="1" applyAlignment="1">
      <alignment horizontal="left"/>
    </xf>
    <xf numFmtId="175" fontId="5" fillId="0" borderId="0" xfId="1" applyNumberFormat="1" applyFont="1"/>
    <xf numFmtId="40" fontId="21" fillId="0" borderId="0" xfId="0" applyFont="1"/>
    <xf numFmtId="40" fontId="22" fillId="0" borderId="0" xfId="0" applyFont="1"/>
    <xf numFmtId="40" fontId="23" fillId="0" borderId="0" xfId="0" applyFont="1"/>
    <xf numFmtId="40" fontId="24" fillId="0" borderId="0" xfId="0" applyFont="1"/>
    <xf numFmtId="40" fontId="21" fillId="0" borderId="16" xfId="0" applyFont="1" applyBorder="1"/>
    <xf numFmtId="40" fontId="0" fillId="0" borderId="11" xfId="0" applyBorder="1"/>
    <xf numFmtId="40" fontId="0" fillId="0" borderId="17" xfId="0" applyBorder="1"/>
    <xf numFmtId="40" fontId="25" fillId="0" borderId="0" xfId="0" applyFont="1"/>
    <xf numFmtId="176" fontId="0" fillId="0" borderId="0" xfId="0" applyNumberFormat="1" applyAlignment="1">
      <alignment horizontal="center"/>
    </xf>
    <xf numFmtId="40" fontId="0" fillId="6" borderId="0" xfId="0" applyFill="1"/>
    <xf numFmtId="40" fontId="25" fillId="0" borderId="16" xfId="0" applyFont="1" applyFill="1" applyBorder="1" applyAlignment="1">
      <alignment horizontal="centerContinuous"/>
    </xf>
    <xf numFmtId="40" fontId="25" fillId="0" borderId="17" xfId="0" applyFont="1" applyFill="1" applyBorder="1" applyAlignment="1">
      <alignment horizontal="centerContinuous"/>
    </xf>
    <xf numFmtId="0" fontId="0" fillId="0" borderId="0" xfId="0" applyNumberFormat="1"/>
    <xf numFmtId="170" fontId="0" fillId="0" borderId="0" xfId="0" applyNumberFormat="1"/>
    <xf numFmtId="177" fontId="0" fillId="0" borderId="0" xfId="0" applyNumberFormat="1"/>
    <xf numFmtId="40" fontId="21" fillId="0" borderId="1" xfId="0" applyFont="1" applyBorder="1"/>
    <xf numFmtId="40" fontId="0" fillId="7" borderId="18" xfId="6" applyNumberFormat="1" applyFont="1"/>
    <xf numFmtId="171" fontId="0" fillId="0" borderId="0" xfId="2" applyFont="1"/>
    <xf numFmtId="40" fontId="0" fillId="0" borderId="19" xfId="8" applyNumberFormat="1" applyFont="1"/>
    <xf numFmtId="40" fontId="27" fillId="0" borderId="0" xfId="9" applyNumberFormat="1"/>
    <xf numFmtId="183" fontId="0" fillId="0" borderId="0" xfId="10" applyFont="1"/>
    <xf numFmtId="171" fontId="0" fillId="0" borderId="19" xfId="8" applyNumberFormat="1" applyFont="1"/>
    <xf numFmtId="171" fontId="0" fillId="0" borderId="19" xfId="2" applyFont="1" applyBorder="1"/>
    <xf numFmtId="40" fontId="0" fillId="0" borderId="20" xfId="0" applyBorder="1"/>
    <xf numFmtId="40" fontId="27" fillId="0" borderId="13" xfId="9" applyNumberFormat="1" applyBorder="1"/>
    <xf numFmtId="40" fontId="0" fillId="0" borderId="13" xfId="0" applyBorder="1"/>
    <xf numFmtId="40" fontId="0" fillId="0" borderId="21" xfId="0" applyBorder="1"/>
    <xf numFmtId="40" fontId="21" fillId="0" borderId="22" xfId="0" applyFont="1" applyBorder="1"/>
    <xf numFmtId="40" fontId="0" fillId="0" borderId="0" xfId="0" applyBorder="1"/>
    <xf numFmtId="40" fontId="0" fillId="0" borderId="23" xfId="0" applyBorder="1"/>
    <xf numFmtId="40" fontId="0" fillId="0" borderId="22" xfId="0" applyBorder="1"/>
    <xf numFmtId="40" fontId="27" fillId="0" borderId="0" xfId="9" applyNumberFormat="1" applyBorder="1"/>
    <xf numFmtId="171" fontId="0" fillId="0" borderId="0" xfId="2" applyFont="1" applyBorder="1"/>
    <xf numFmtId="40" fontId="0" fillId="0" borderId="24" xfId="0" applyBorder="1"/>
    <xf numFmtId="40" fontId="27" fillId="0" borderId="10" xfId="9" applyNumberFormat="1" applyBorder="1"/>
    <xf numFmtId="40" fontId="0" fillId="0" borderId="10" xfId="0" applyBorder="1"/>
    <xf numFmtId="40" fontId="21" fillId="0" borderId="24" xfId="0" applyFont="1" applyBorder="1"/>
    <xf numFmtId="40" fontId="21" fillId="0" borderId="10" xfId="0" applyFont="1" applyBorder="1"/>
    <xf numFmtId="40" fontId="21" fillId="0" borderId="25" xfId="0" applyFont="1" applyBorder="1"/>
    <xf numFmtId="40" fontId="21" fillId="0" borderId="0" xfId="0" applyFont="1" applyBorder="1"/>
    <xf numFmtId="171" fontId="21" fillId="0" borderId="0" xfId="2" applyFont="1"/>
    <xf numFmtId="40" fontId="21" fillId="0" borderId="19" xfId="8" applyNumberFormat="1" applyFont="1"/>
    <xf numFmtId="171" fontId="21" fillId="0" borderId="0" xfId="2" applyFont="1" applyBorder="1"/>
    <xf numFmtId="40" fontId="21" fillId="0" borderId="20" xfId="0" applyFont="1" applyBorder="1"/>
    <xf numFmtId="40" fontId="0" fillId="0" borderId="16" xfId="0" applyBorder="1"/>
    <xf numFmtId="40" fontId="0" fillId="0" borderId="26" xfId="8" applyNumberFormat="1" applyFont="1" applyBorder="1"/>
    <xf numFmtId="40" fontId="21" fillId="0" borderId="27" xfId="8" applyNumberFormat="1" applyFont="1" applyBorder="1"/>
    <xf numFmtId="179" fontId="0" fillId="0" borderId="0" xfId="0" applyNumberFormat="1"/>
    <xf numFmtId="9" fontId="21" fillId="0" borderId="0" xfId="0" applyNumberFormat="1" applyFont="1"/>
    <xf numFmtId="40" fontId="0" fillId="0" borderId="28" xfId="0" applyBorder="1"/>
    <xf numFmtId="171" fontId="27" fillId="0" borderId="13" xfId="9" applyNumberFormat="1" applyBorder="1"/>
    <xf numFmtId="171" fontId="27" fillId="0" borderId="21" xfId="9" applyNumberFormat="1" applyBorder="1"/>
    <xf numFmtId="40" fontId="27" fillId="0" borderId="23" xfId="9" applyNumberFormat="1" applyBorder="1"/>
    <xf numFmtId="171" fontId="27" fillId="0" borderId="0" xfId="9" applyNumberFormat="1" applyBorder="1"/>
    <xf numFmtId="171" fontId="27" fillId="0" borderId="23" xfId="9" applyNumberFormat="1" applyBorder="1"/>
    <xf numFmtId="178" fontId="27" fillId="0" borderId="0" xfId="9" applyNumberFormat="1" applyBorder="1"/>
    <xf numFmtId="178" fontId="27" fillId="0" borderId="23" xfId="9" applyNumberFormat="1" applyBorder="1"/>
    <xf numFmtId="178" fontId="27" fillId="0" borderId="10" xfId="9" applyNumberFormat="1" applyBorder="1"/>
    <xf numFmtId="178" fontId="27" fillId="0" borderId="25" xfId="9" applyNumberFormat="1" applyBorder="1"/>
    <xf numFmtId="40" fontId="21" fillId="0" borderId="0" xfId="0" applyFont="1" applyAlignment="1">
      <alignment horizontal="right"/>
    </xf>
    <xf numFmtId="0" fontId="0" fillId="0" borderId="13" xfId="0" applyNumberFormat="1" applyBorder="1"/>
    <xf numFmtId="40" fontId="21" fillId="0" borderId="11" xfId="0" applyFont="1" applyBorder="1"/>
    <xf numFmtId="40" fontId="21" fillId="0" borderId="17" xfId="0" applyFont="1" applyBorder="1"/>
    <xf numFmtId="171" fontId="0" fillId="0" borderId="0" xfId="0" applyNumberFormat="1"/>
    <xf numFmtId="178" fontId="0" fillId="0" borderId="0" xfId="0" applyNumberFormat="1"/>
    <xf numFmtId="176" fontId="0" fillId="0" borderId="0" xfId="0" applyNumberFormat="1" applyAlignment="1">
      <alignment horizontal="left"/>
    </xf>
    <xf numFmtId="180" fontId="0" fillId="0" borderId="0" xfId="0" applyNumberFormat="1" applyBorder="1"/>
    <xf numFmtId="40" fontId="0" fillId="0" borderId="0" xfId="0" applyAlignment="1">
      <alignment horizontal="right"/>
    </xf>
    <xf numFmtId="170" fontId="0" fillId="0" borderId="0" xfId="0" applyNumberFormat="1" applyAlignment="1">
      <alignment horizontal="right"/>
    </xf>
    <xf numFmtId="177" fontId="0" fillId="0" borderId="0" xfId="0" applyNumberFormat="1" applyAlignment="1">
      <alignment horizontal="right"/>
    </xf>
    <xf numFmtId="181" fontId="0" fillId="0" borderId="0" xfId="2" applyNumberFormat="1" applyFont="1"/>
    <xf numFmtId="182" fontId="0" fillId="0" borderId="0" xfId="2" applyNumberFormat="1" applyFont="1"/>
    <xf numFmtId="171" fontId="0" fillId="7" borderId="18" xfId="6" applyNumberFormat="1" applyFont="1"/>
    <xf numFmtId="4" fontId="0" fillId="0" borderId="0" xfId="2" applyNumberFormat="1" applyFont="1"/>
  </cellXfs>
  <cellStyles count="11">
    <cellStyle name="Bad" xfId="4" builtinId="27" hidden="1"/>
    <cellStyle name="Calculation" xfId="7" builtinId="22" hidden="1"/>
    <cellStyle name="Comma" xfId="1" builtinId="3"/>
    <cellStyle name="Explanatory Text" xfId="9" builtinId="53" customBuiltin="1"/>
    <cellStyle name="Good" xfId="3" builtinId="26" hidden="1"/>
    <cellStyle name="Input" xfId="6" builtinId="20" customBuiltin="1"/>
    <cellStyle name="Linked Cell" xfId="8" builtinId="24" customBuiltin="1"/>
    <cellStyle name="Multiple" xfId="10" xr:uid="{CF9D3DC0-52BF-4DD5-A02E-F6D54AF953CF}"/>
    <cellStyle name="Neutral" xfId="5" builtinId="28" hidden="1"/>
    <cellStyle name="Normal" xfId="0" builtinId="0"/>
    <cellStyle name="Percent" xfId="2" builtinId="5"/>
  </cellStyles>
  <dxfs count="5"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ctrlProps/ctrlProp1.xml><?xml version="1.0" encoding="utf-8"?>
<formControlPr xmlns="http://schemas.microsoft.com/office/spreadsheetml/2009/9/main" objectType="Drop" dropStyle="combo" dx="31" fmlaLink="S_Scenario" fmlaRange="S_List" noThreeD="1" sel="1" val="0"/>
</file>

<file path=xl/ctrlProps/ctrlProp2.xml><?xml version="1.0" encoding="utf-8"?>
<formControlPr xmlns="http://schemas.microsoft.com/office/spreadsheetml/2009/9/main" objectType="Drop" dropStyle="combo" dx="31" fmlaLink="S_Scenario" fmlaRange="S_List" noThreeD="1" sel="1" val="0"/>
</file>

<file path=xl/ctrlProps/ctrlProp3.xml><?xml version="1.0" encoding="utf-8"?>
<formControlPr xmlns="http://schemas.microsoft.com/office/spreadsheetml/2009/9/main" objectType="Drop" dropStyle="combo" dx="31" fmlaLink="S_Scenario" fmlaRange="S_List" noThreeD="1" sel="1" val="0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629107</xdr:colOff>
          <xdr:row>74</xdr:row>
          <xdr:rowOff>0</xdr:rowOff>
        </xdr:from>
        <xdr:to>
          <xdr:col>3</xdr:col>
          <xdr:colOff>1492301</xdr:colOff>
          <xdr:row>75</xdr:row>
          <xdr:rowOff>7315</xdr:rowOff>
        </xdr:to>
        <xdr:sp macro="" textlink="">
          <xdr:nvSpPr>
            <xdr:cNvPr id="8193" name="Drop Down 1" hidden="1">
              <a:extLst>
                <a:ext uri="{63B3BB69-23CF-44E3-9099-C40C66FF867C}">
                  <a14:compatExt spid="_x0000_s8193"/>
                </a:ext>
                <a:ext uri="{FF2B5EF4-FFF2-40B4-BE49-F238E27FC236}">
                  <a16:creationId xmlns:a16="http://schemas.microsoft.com/office/drawing/2014/main" id="{00000000-0008-0000-0200-000001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504749</xdr:colOff>
          <xdr:row>7</xdr:row>
          <xdr:rowOff>146304</xdr:rowOff>
        </xdr:from>
        <xdr:to>
          <xdr:col>6</xdr:col>
          <xdr:colOff>0</xdr:colOff>
          <xdr:row>9</xdr:row>
          <xdr:rowOff>0</xdr:rowOff>
        </xdr:to>
        <xdr:sp macro="" textlink="">
          <xdr:nvSpPr>
            <xdr:cNvPr id="4097" name="Drop Down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4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241402</xdr:colOff>
          <xdr:row>1</xdr:row>
          <xdr:rowOff>21946</xdr:rowOff>
        </xdr:from>
        <xdr:to>
          <xdr:col>13</xdr:col>
          <xdr:colOff>160934</xdr:colOff>
          <xdr:row>2</xdr:row>
          <xdr:rowOff>21946</xdr:rowOff>
        </xdr:to>
        <xdr:sp macro="" textlink="">
          <xdr:nvSpPr>
            <xdr:cNvPr id="13363" name="Drop Down 51" hidden="1">
              <a:extLst>
                <a:ext uri="{63B3BB69-23CF-44E3-9099-C40C66FF867C}">
                  <a14:compatExt spid="_x0000_s13363"/>
                </a:ext>
                <a:ext uri="{FF2B5EF4-FFF2-40B4-BE49-F238E27FC236}">
                  <a16:creationId xmlns:a16="http://schemas.microsoft.com/office/drawing/2014/main" id="{00000000-0008-0000-0500-000033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5" Type="http://schemas.openxmlformats.org/officeDocument/2006/relationships/comments" Target="../comments1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Relationship Id="rId4" Type="http://schemas.openxmlformats.org/officeDocument/2006/relationships/ctrlProp" Target="../ctrlProps/ctrlProp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Relationship Id="rId5" Type="http://schemas.openxmlformats.org/officeDocument/2006/relationships/comments" Target="../comments2.xml"/><Relationship Id="rId4" Type="http://schemas.openxmlformats.org/officeDocument/2006/relationships/ctrlProp" Target="../ctrlProps/ctrlProp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31DDD-41E7-476D-97E5-D76E30CD5C51}">
  <sheetPr>
    <pageSetUpPr fitToPage="1"/>
  </sheetPr>
  <dimension ref="B4:D22"/>
  <sheetViews>
    <sheetView showGridLines="0" zoomScaleNormal="100" workbookViewId="0">
      <selection activeCell="C15" sqref="C15"/>
    </sheetView>
  </sheetViews>
  <sheetFormatPr defaultRowHeight="12.7"/>
  <cols>
    <col min="2" max="2" width="21.21875" customWidth="1"/>
    <col min="3" max="3" width="8.21875" customWidth="1"/>
  </cols>
  <sheetData>
    <row r="4" spans="2:4" ht="22.5">
      <c r="B4" s="73" t="str">
        <f>Historical!B2</f>
        <v>Xcel Stores &amp; Properties</v>
      </c>
    </row>
    <row r="6" spans="2:4">
      <c r="B6" t="str">
        <f>"Financial Forecast from "&amp;Historical!I7+1&amp;" to "&amp;Historical!I7+5</f>
        <v>Financial Forecast from 2023 to 2027</v>
      </c>
    </row>
    <row r="8" spans="2:4">
      <c r="B8" s="70" t="s">
        <v>72</v>
      </c>
      <c r="C8" t="s">
        <v>73</v>
      </c>
    </row>
    <row r="9" spans="2:4">
      <c r="B9" s="70"/>
    </row>
    <row r="10" spans="2:4">
      <c r="B10" s="70" t="s">
        <v>74</v>
      </c>
      <c r="C10" t="s">
        <v>271</v>
      </c>
    </row>
    <row r="11" spans="2:4">
      <c r="B11" s="70"/>
    </row>
    <row r="12" spans="2:4">
      <c r="B12" s="74" t="s">
        <v>75</v>
      </c>
      <c r="C12" s="75" t="s">
        <v>14</v>
      </c>
      <c r="D12" s="76"/>
    </row>
    <row r="14" spans="2:4">
      <c r="B14" s="77" t="s">
        <v>76</v>
      </c>
      <c r="C14" s="78">
        <v>2</v>
      </c>
    </row>
    <row r="17" spans="2:2">
      <c r="B17" s="72" t="str">
        <f>IF(Circularity=1,"Circularity is now turned on in the model, kindly follow the steps below to enable iterative calculation:","")</f>
        <v/>
      </c>
    </row>
    <row r="18" spans="2:2">
      <c r="B18" s="72"/>
    </row>
    <row r="19" spans="2:2">
      <c r="B19" s="72" t="str">
        <f>IF(Circularity=1,"Click on File&gt;&gt;Options&gt;&gt;Formulas&gt;&gt;Calculation Options&gt;&gt;Check Enable Iterative Calculation&gt;&gt;OK","")</f>
        <v/>
      </c>
    </row>
    <row r="20" spans="2:2">
      <c r="B20" s="72" t="str">
        <f>IF(Circularity=1,"Alternatively, use the Excel Shortcut ALT + F + T to quickly navigate to Excel Options, then follow other steps as stated above","")</f>
        <v/>
      </c>
    </row>
    <row r="21" spans="2:2">
      <c r="B21" s="71"/>
    </row>
    <row r="22" spans="2:2">
      <c r="B22" s="71" t="s">
        <v>77</v>
      </c>
    </row>
  </sheetData>
  <dataValidations count="1">
    <dataValidation type="list" allowBlank="1" showInputMessage="1" showErrorMessage="1" sqref="C14" xr:uid="{3DAB4AA8-1912-4163-8ACE-5E6438624A2D}">
      <formula1>"1,2"</formula1>
    </dataValidation>
  </dataValidations>
  <pageMargins left="0.7" right="0.7" top="0.75" bottom="0.75" header="0.3" footer="0.3"/>
  <pageSetup scale="99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63EE2-28CB-4A31-9ADD-881FC1FC6E70}">
  <dimension ref="B2:I126"/>
  <sheetViews>
    <sheetView showGridLines="0" zoomScaleNormal="100" zoomScaleSheetLayoutView="90" workbookViewId="0"/>
  </sheetViews>
  <sheetFormatPr defaultColWidth="9.21875" defaultRowHeight="13.25"/>
  <cols>
    <col min="1" max="1" width="2.5546875" style="3" customWidth="1"/>
    <col min="2" max="2" width="1.77734375" style="3" customWidth="1"/>
    <col min="3" max="3" width="2.21875" style="3" customWidth="1"/>
    <col min="4" max="4" width="32.77734375" style="3" customWidth="1"/>
    <col min="5" max="5" width="12.77734375" style="3" customWidth="1"/>
    <col min="6" max="6" width="1.77734375" style="3" customWidth="1"/>
    <col min="7" max="9" width="12.77734375" style="3" customWidth="1"/>
    <col min="10" max="16384" width="9.21875" style="3"/>
  </cols>
  <sheetData>
    <row r="2" spans="2:9" ht="23.05">
      <c r="B2" s="2" t="s">
        <v>0</v>
      </c>
      <c r="C2" s="2"/>
      <c r="D2" s="2"/>
      <c r="E2" s="2"/>
      <c r="F2" s="2"/>
      <c r="G2" s="2"/>
      <c r="H2" s="2"/>
      <c r="I2" s="2"/>
    </row>
    <row r="3" spans="2:9" ht="19.45" customHeight="1">
      <c r="B3" s="4" t="s">
        <v>1</v>
      </c>
      <c r="C3" s="4"/>
      <c r="D3" s="4"/>
      <c r="E3" s="4"/>
      <c r="F3" s="4"/>
      <c r="G3" s="4"/>
      <c r="H3" s="4"/>
      <c r="I3" s="4"/>
    </row>
    <row r="4" spans="2:9" ht="6.05" customHeight="1" thickBot="1">
      <c r="B4" s="5"/>
      <c r="C4" s="5"/>
      <c r="D4" s="5"/>
      <c r="E4" s="5"/>
      <c r="F4" s="5"/>
      <c r="G4" s="5"/>
      <c r="H4" s="5"/>
      <c r="I4" s="5"/>
    </row>
    <row r="5" spans="2:9">
      <c r="B5" s="6" t="s">
        <v>2</v>
      </c>
    </row>
    <row r="6" spans="2:9">
      <c r="F6" s="7"/>
    </row>
    <row r="7" spans="2:9">
      <c r="F7" s="8"/>
      <c r="G7" s="9">
        <v>2020</v>
      </c>
      <c r="H7" s="9">
        <f>G7+1</f>
        <v>2021</v>
      </c>
      <c r="I7" s="9">
        <f>H7+1</f>
        <v>2022</v>
      </c>
    </row>
    <row r="8" spans="2:9" ht="13.1" customHeight="1">
      <c r="F8" s="8"/>
      <c r="G8" s="8"/>
      <c r="H8" s="8"/>
      <c r="I8" s="8"/>
    </row>
    <row r="9" spans="2:9">
      <c r="B9" s="10" t="s">
        <v>3</v>
      </c>
      <c r="C9" s="11"/>
      <c r="D9" s="11"/>
      <c r="E9" s="11"/>
      <c r="F9" s="12"/>
      <c r="G9" s="12"/>
      <c r="H9" s="13">
        <f>H13/G13-1</f>
        <v>0.10508329773601033</v>
      </c>
      <c r="I9" s="14">
        <f>I13/H13-1</f>
        <v>7.8082721298801561E-2</v>
      </c>
    </row>
    <row r="10" spans="2:9">
      <c r="B10" s="15" t="s">
        <v>4</v>
      </c>
      <c r="C10" s="16"/>
      <c r="D10" s="16"/>
      <c r="E10" s="16"/>
      <c r="F10" s="17"/>
      <c r="G10" s="18">
        <f>G15/G$13</f>
        <v>0.31866723622383597</v>
      </c>
      <c r="H10" s="18">
        <f>H15/H$13</f>
        <v>0.35485117897178198</v>
      </c>
      <c r="I10" s="19">
        <f>I15/I$13</f>
        <v>0.36894944424524923</v>
      </c>
    </row>
    <row r="11" spans="2:9">
      <c r="B11" s="20" t="s">
        <v>5</v>
      </c>
      <c r="C11" s="21"/>
      <c r="D11" s="21"/>
      <c r="E11" s="21"/>
      <c r="F11" s="22"/>
      <c r="G11" s="23">
        <f>G16/G$13</f>
        <v>6.1939342161469457E-2</v>
      </c>
      <c r="H11" s="23">
        <f t="shared" ref="H11:I11" si="0">H16/H$13</f>
        <v>6.5326633165829137E-2</v>
      </c>
      <c r="I11" s="24">
        <f t="shared" si="0"/>
        <v>7.0993187522409462E-2</v>
      </c>
    </row>
    <row r="12" spans="2:9" ht="13.1" customHeight="1">
      <c r="B12" s="25"/>
      <c r="F12" s="8"/>
      <c r="G12" s="8"/>
      <c r="H12" s="8"/>
      <c r="I12" s="8"/>
    </row>
    <row r="13" spans="2:9">
      <c r="C13" s="25" t="s">
        <v>6</v>
      </c>
      <c r="D13" s="25"/>
      <c r="E13" s="25"/>
      <c r="F13" s="8"/>
      <c r="G13" s="26">
        <v>234.1</v>
      </c>
      <c r="H13" s="26">
        <v>258.7</v>
      </c>
      <c r="I13" s="26">
        <v>278.89999999999998</v>
      </c>
    </row>
    <row r="14" spans="2:9" ht="13.1" customHeight="1">
      <c r="F14" s="8"/>
      <c r="G14" s="8"/>
      <c r="H14" s="8"/>
      <c r="I14" s="8"/>
    </row>
    <row r="15" spans="2:9">
      <c r="C15" s="3" t="s">
        <v>7</v>
      </c>
      <c r="F15" s="8"/>
      <c r="G15" s="27">
        <v>74.599999999999994</v>
      </c>
      <c r="H15" s="27">
        <v>91.8</v>
      </c>
      <c r="I15" s="27">
        <v>102.9</v>
      </c>
    </row>
    <row r="16" spans="2:9">
      <c r="C16" s="28" t="s">
        <v>8</v>
      </c>
      <c r="F16" s="8"/>
      <c r="G16" s="29">
        <v>14.5</v>
      </c>
      <c r="H16" s="29">
        <v>16.899999999999999</v>
      </c>
      <c r="I16" s="29">
        <v>19.799999999999997</v>
      </c>
    </row>
    <row r="17" spans="2:9">
      <c r="C17" s="30" t="s">
        <v>9</v>
      </c>
      <c r="F17" s="8"/>
      <c r="G17" s="31">
        <f t="shared" ref="G17:I17" si="1">SUM(G15:G16)</f>
        <v>89.1</v>
      </c>
      <c r="H17" s="31">
        <f t="shared" si="1"/>
        <v>108.69999999999999</v>
      </c>
      <c r="I17" s="31">
        <f t="shared" si="1"/>
        <v>122.7</v>
      </c>
    </row>
    <row r="18" spans="2:9">
      <c r="C18" s="30"/>
      <c r="F18" s="8"/>
      <c r="G18" s="8"/>
      <c r="H18" s="8"/>
      <c r="I18" s="8"/>
    </row>
    <row r="19" spans="2:9">
      <c r="C19" s="3" t="s">
        <v>10</v>
      </c>
      <c r="F19" s="8"/>
      <c r="G19" s="29">
        <v>0</v>
      </c>
      <c r="H19" s="29">
        <v>0.8</v>
      </c>
      <c r="I19" s="29">
        <v>2.2999999999999998</v>
      </c>
    </row>
    <row r="20" spans="2:9">
      <c r="B20" s="25"/>
      <c r="C20" s="25" t="s">
        <v>11</v>
      </c>
      <c r="G20" s="32">
        <f t="shared" ref="G20:I20" si="2">G13-G17+G19</f>
        <v>145</v>
      </c>
      <c r="H20" s="32">
        <f t="shared" si="2"/>
        <v>150.80000000000001</v>
      </c>
      <c r="I20" s="32">
        <f t="shared" si="2"/>
        <v>158.5</v>
      </c>
    </row>
    <row r="22" spans="2:9">
      <c r="C22" s="3" t="s">
        <v>12</v>
      </c>
      <c r="G22" s="33">
        <v>41.7</v>
      </c>
      <c r="H22" s="33">
        <v>46.2</v>
      </c>
      <c r="I22" s="33">
        <v>54.6</v>
      </c>
    </row>
    <row r="23" spans="2:9">
      <c r="C23" s="30" t="s">
        <v>13</v>
      </c>
      <c r="G23" s="32">
        <f t="shared" ref="G23:I23" si="3">G20-G22</f>
        <v>103.3</v>
      </c>
      <c r="H23" s="32">
        <f t="shared" si="3"/>
        <v>104.60000000000001</v>
      </c>
      <c r="I23" s="32">
        <f t="shared" si="3"/>
        <v>103.9</v>
      </c>
    </row>
    <row r="24" spans="2:9" ht="6.05" customHeight="1">
      <c r="C24" s="30"/>
    </row>
    <row r="25" spans="2:9" ht="12.85" customHeight="1">
      <c r="C25" s="3" t="s">
        <v>268</v>
      </c>
      <c r="G25" s="34">
        <v>0</v>
      </c>
      <c r="H25" s="34">
        <v>-2.6</v>
      </c>
      <c r="I25" s="34">
        <v>0</v>
      </c>
    </row>
    <row r="26" spans="2:9">
      <c r="C26" s="35" t="s">
        <v>14</v>
      </c>
      <c r="G26" s="33">
        <v>33.5</v>
      </c>
      <c r="H26" s="33">
        <v>34.200000000000003</v>
      </c>
      <c r="I26" s="33">
        <v>36.6</v>
      </c>
    </row>
    <row r="27" spans="2:9">
      <c r="C27" s="36" t="s">
        <v>15</v>
      </c>
      <c r="G27" s="32">
        <f t="shared" ref="G27:I27" si="4">G23+G25-G26</f>
        <v>69.8</v>
      </c>
      <c r="H27" s="32">
        <f t="shared" si="4"/>
        <v>67.800000000000011</v>
      </c>
      <c r="I27" s="32">
        <f t="shared" si="4"/>
        <v>67.300000000000011</v>
      </c>
    </row>
    <row r="28" spans="2:9" ht="6.05" customHeight="1">
      <c r="C28" s="30"/>
    </row>
    <row r="29" spans="2:9">
      <c r="C29" s="3" t="s">
        <v>16</v>
      </c>
      <c r="G29" s="34">
        <v>11.3</v>
      </c>
      <c r="H29" s="34">
        <v>10.5</v>
      </c>
      <c r="I29" s="34">
        <v>15.8</v>
      </c>
    </row>
    <row r="30" spans="2:9">
      <c r="C30" s="3" t="s">
        <v>17</v>
      </c>
      <c r="G30" s="33">
        <v>10.399999999999999</v>
      </c>
      <c r="H30" s="33">
        <v>11.8</v>
      </c>
      <c r="I30" s="33">
        <v>8.3999999999999986</v>
      </c>
    </row>
    <row r="31" spans="2:9">
      <c r="C31" s="25" t="s">
        <v>18</v>
      </c>
      <c r="G31" s="32">
        <f t="shared" ref="G31:I31" si="5">SUM(G29:G30)</f>
        <v>21.7</v>
      </c>
      <c r="H31" s="32">
        <f t="shared" si="5"/>
        <v>22.3</v>
      </c>
      <c r="I31" s="32">
        <f t="shared" si="5"/>
        <v>24.2</v>
      </c>
    </row>
    <row r="32" spans="2:9" ht="9.1" customHeight="1">
      <c r="G32" s="37"/>
      <c r="H32" s="37"/>
      <c r="I32" s="37"/>
    </row>
    <row r="33" spans="2:9">
      <c r="C33" s="38" t="s">
        <v>19</v>
      </c>
      <c r="D33" s="25"/>
      <c r="E33" s="25"/>
      <c r="G33" s="39">
        <f t="shared" ref="G33:I33" si="6">G27-G31</f>
        <v>48.099999999999994</v>
      </c>
      <c r="H33" s="39">
        <f t="shared" si="6"/>
        <v>45.500000000000014</v>
      </c>
      <c r="I33" s="39">
        <f t="shared" si="6"/>
        <v>43.100000000000009</v>
      </c>
    </row>
    <row r="34" spans="2:9">
      <c r="C34" s="38"/>
      <c r="D34" s="25"/>
      <c r="E34" s="25"/>
      <c r="G34" s="31"/>
      <c r="H34" s="31"/>
      <c r="I34" s="31"/>
    </row>
    <row r="35" spans="2:9">
      <c r="C35" s="40" t="s">
        <v>20</v>
      </c>
      <c r="D35" s="25"/>
      <c r="E35" s="25"/>
      <c r="G35" s="33">
        <v>0</v>
      </c>
      <c r="H35" s="33">
        <v>0</v>
      </c>
      <c r="I35" s="33">
        <v>0</v>
      </c>
    </row>
    <row r="36" spans="2:9" ht="13.55" customHeight="1" thickBot="1">
      <c r="C36" s="38" t="s">
        <v>21</v>
      </c>
      <c r="D36" s="25"/>
      <c r="E36" s="25"/>
      <c r="G36" s="41">
        <f t="shared" ref="G36:I36" si="7">G33-G35</f>
        <v>48.099999999999994</v>
      </c>
      <c r="H36" s="41">
        <f t="shared" si="7"/>
        <v>45.500000000000014</v>
      </c>
      <c r="I36" s="41">
        <f t="shared" si="7"/>
        <v>43.100000000000009</v>
      </c>
    </row>
    <row r="37" spans="2:9" ht="13.55" customHeight="1" thickTop="1">
      <c r="B37" s="42"/>
      <c r="C37" s="42"/>
      <c r="D37" s="42"/>
      <c r="E37" s="42"/>
      <c r="F37" s="42"/>
      <c r="G37" s="43"/>
      <c r="H37" s="43"/>
      <c r="I37" s="43"/>
    </row>
    <row r="38" spans="2:9">
      <c r="C38" s="44"/>
      <c r="G38" s="45"/>
      <c r="H38" s="45"/>
      <c r="I38" s="45"/>
    </row>
    <row r="39" spans="2:9">
      <c r="B39" s="25"/>
      <c r="C39" s="25"/>
      <c r="D39" s="25"/>
      <c r="E39" s="25"/>
      <c r="F39" s="25"/>
      <c r="G39" s="25"/>
      <c r="H39" s="25"/>
      <c r="I39" s="25"/>
    </row>
    <row r="40" spans="2:9">
      <c r="B40" s="25"/>
      <c r="G40" s="46"/>
      <c r="H40" s="46"/>
      <c r="I40" s="46"/>
    </row>
    <row r="41" spans="2:9" ht="23.05">
      <c r="B41" s="2" t="str">
        <f>$B$2</f>
        <v>Xcel Stores &amp; Properties</v>
      </c>
      <c r="C41" s="47"/>
      <c r="D41" s="47"/>
      <c r="E41" s="47"/>
      <c r="F41" s="47"/>
      <c r="G41" s="47"/>
      <c r="H41" s="47"/>
      <c r="I41" s="47"/>
    </row>
    <row r="42" spans="2:9" ht="17.850000000000001">
      <c r="B42" s="4" t="s">
        <v>22</v>
      </c>
      <c r="C42" s="47"/>
      <c r="D42" s="47"/>
      <c r="E42" s="47"/>
      <c r="F42" s="47"/>
      <c r="G42" s="47"/>
      <c r="H42" s="47"/>
      <c r="I42" s="47"/>
    </row>
    <row r="43" spans="2:9" ht="6.05" customHeight="1" thickBot="1">
      <c r="B43" s="5"/>
      <c r="C43" s="48"/>
      <c r="D43" s="48"/>
      <c r="E43" s="48"/>
      <c r="F43" s="48"/>
      <c r="G43" s="48"/>
      <c r="H43" s="48"/>
      <c r="I43" s="48"/>
    </row>
    <row r="44" spans="2:9">
      <c r="B44" s="6" t="str">
        <f>$B$5</f>
        <v>Millions for the Year Ended December 31</v>
      </c>
    </row>
    <row r="46" spans="2:9">
      <c r="B46" s="49"/>
      <c r="F46" s="50"/>
      <c r="G46" s="9">
        <f>G$7</f>
        <v>2020</v>
      </c>
      <c r="H46" s="9">
        <f t="shared" ref="H46:I46" si="8">H$7</f>
        <v>2021</v>
      </c>
      <c r="I46" s="9">
        <f t="shared" si="8"/>
        <v>2022</v>
      </c>
    </row>
    <row r="47" spans="2:9">
      <c r="B47" s="49"/>
      <c r="F47" s="50"/>
      <c r="G47" s="50"/>
      <c r="H47" s="50"/>
      <c r="I47" s="50"/>
    </row>
    <row r="48" spans="2:9">
      <c r="B48" s="25" t="s">
        <v>23</v>
      </c>
    </row>
    <row r="49" spans="2:9">
      <c r="C49" s="3" t="s">
        <v>19</v>
      </c>
      <c r="F49" s="51"/>
      <c r="G49" s="52">
        <v>48.099999999999994</v>
      </c>
      <c r="H49" s="52">
        <v>45.500000000000014</v>
      </c>
      <c r="I49" s="52">
        <v>43.100000000000009</v>
      </c>
    </row>
    <row r="50" spans="2:9">
      <c r="C50" s="3" t="s">
        <v>12</v>
      </c>
      <c r="F50" s="51"/>
      <c r="G50" s="52">
        <v>41.7</v>
      </c>
      <c r="H50" s="52">
        <v>46.2</v>
      </c>
      <c r="I50" s="52">
        <v>54.6</v>
      </c>
    </row>
    <row r="51" spans="2:9">
      <c r="C51" s="3" t="s">
        <v>17</v>
      </c>
      <c r="F51" s="51"/>
      <c r="G51" s="52">
        <v>10.399999999999999</v>
      </c>
      <c r="H51" s="52">
        <v>11.8</v>
      </c>
      <c r="I51" s="52">
        <v>8.3999999999999986</v>
      </c>
    </row>
    <row r="52" spans="2:9">
      <c r="C52" s="3" t="s">
        <v>24</v>
      </c>
      <c r="F52" s="53"/>
      <c r="G52" s="52">
        <v>2.4</v>
      </c>
      <c r="H52" s="52">
        <v>6.7000000000000011</v>
      </c>
      <c r="I52" s="52">
        <v>-3.3000000000000007</v>
      </c>
    </row>
    <row r="53" spans="2:9">
      <c r="C53" s="3" t="s">
        <v>25</v>
      </c>
      <c r="F53" s="53"/>
      <c r="G53" s="54">
        <v>0.4</v>
      </c>
      <c r="H53" s="54">
        <v>-0.4</v>
      </c>
      <c r="I53" s="29">
        <v>-0.3</v>
      </c>
    </row>
    <row r="54" spans="2:9">
      <c r="C54" s="30" t="s">
        <v>26</v>
      </c>
      <c r="F54" s="55"/>
      <c r="G54" s="56">
        <f t="shared" ref="G54:I54" si="9">SUM(G49:G53)</f>
        <v>103</v>
      </c>
      <c r="H54" s="56">
        <f t="shared" si="9"/>
        <v>109.80000000000001</v>
      </c>
      <c r="I54" s="56">
        <f t="shared" si="9"/>
        <v>102.50000000000003</v>
      </c>
    </row>
    <row r="55" spans="2:9">
      <c r="B55" s="28"/>
    </row>
    <row r="56" spans="2:9">
      <c r="B56" s="28"/>
    </row>
    <row r="57" spans="2:9">
      <c r="B57" s="25" t="s">
        <v>27</v>
      </c>
    </row>
    <row r="58" spans="2:9">
      <c r="C58" s="3" t="s">
        <v>28</v>
      </c>
      <c r="G58" s="34">
        <v>-121.1</v>
      </c>
      <c r="H58" s="34">
        <v>-159.69999999999999</v>
      </c>
      <c r="I58" s="34">
        <v>-151.19999999999999</v>
      </c>
    </row>
    <row r="59" spans="2:9">
      <c r="C59" s="3" t="s">
        <v>29</v>
      </c>
      <c r="G59" s="34">
        <v>23.4</v>
      </c>
      <c r="H59" s="34">
        <v>13.8</v>
      </c>
      <c r="I59" s="34">
        <v>5.8</v>
      </c>
    </row>
    <row r="60" spans="2:9">
      <c r="C60" s="3" t="s">
        <v>25</v>
      </c>
      <c r="G60" s="33">
        <v>2.5</v>
      </c>
      <c r="H60" s="33">
        <v>2.6</v>
      </c>
      <c r="I60" s="33">
        <v>0.8</v>
      </c>
    </row>
    <row r="61" spans="2:9">
      <c r="C61" s="25" t="s">
        <v>30</v>
      </c>
      <c r="F61" s="55"/>
      <c r="G61" s="56">
        <f t="shared" ref="G61:I61" si="10">SUM(G58:G60)</f>
        <v>-95.199999999999989</v>
      </c>
      <c r="H61" s="56">
        <f t="shared" si="10"/>
        <v>-143.29999999999998</v>
      </c>
      <c r="I61" s="56">
        <f t="shared" si="10"/>
        <v>-144.59999999999997</v>
      </c>
    </row>
    <row r="62" spans="2:9">
      <c r="B62" s="36"/>
      <c r="F62" s="51"/>
      <c r="G62" s="51"/>
      <c r="H62" s="51"/>
      <c r="I62" s="51"/>
    </row>
    <row r="63" spans="2:9">
      <c r="B63" s="36"/>
      <c r="F63" s="51"/>
      <c r="G63" s="57"/>
      <c r="H63" s="57"/>
      <c r="I63" s="57"/>
    </row>
    <row r="64" spans="2:9">
      <c r="B64" s="36" t="s">
        <v>31</v>
      </c>
      <c r="F64" s="51"/>
      <c r="G64" s="51"/>
      <c r="H64" s="51"/>
      <c r="I64" s="51"/>
    </row>
    <row r="65" spans="2:9">
      <c r="B65" s="36"/>
      <c r="C65" s="3" t="s">
        <v>32</v>
      </c>
      <c r="F65" s="55"/>
      <c r="G65" s="34">
        <v>0</v>
      </c>
      <c r="H65" s="34">
        <v>0</v>
      </c>
      <c r="I65" s="34">
        <v>0</v>
      </c>
    </row>
    <row r="66" spans="2:9">
      <c r="B66" s="36"/>
      <c r="C66" s="35" t="s">
        <v>33</v>
      </c>
      <c r="F66" s="55"/>
      <c r="G66" s="34">
        <v>-26</v>
      </c>
      <c r="H66" s="34">
        <v>20</v>
      </c>
      <c r="I66" s="34">
        <v>25</v>
      </c>
    </row>
    <row r="67" spans="2:9">
      <c r="B67" s="36"/>
      <c r="C67" s="35" t="s">
        <v>34</v>
      </c>
      <c r="F67" s="55"/>
      <c r="G67" s="34">
        <v>5</v>
      </c>
      <c r="H67" s="34">
        <v>25</v>
      </c>
      <c r="I67" s="34">
        <v>25</v>
      </c>
    </row>
    <row r="68" spans="2:9">
      <c r="C68" s="3" t="s">
        <v>35</v>
      </c>
      <c r="G68" s="34">
        <v>0</v>
      </c>
      <c r="H68" s="34">
        <v>0</v>
      </c>
      <c r="I68" s="34">
        <v>0</v>
      </c>
    </row>
    <row r="69" spans="2:9">
      <c r="C69" s="3" t="s">
        <v>36</v>
      </c>
      <c r="G69" s="34">
        <v>-5</v>
      </c>
      <c r="H69" s="34">
        <v>-4</v>
      </c>
      <c r="I69" s="34">
        <v>-6</v>
      </c>
    </row>
    <row r="70" spans="2:9">
      <c r="C70" s="3" t="s">
        <v>37</v>
      </c>
      <c r="G70" s="34">
        <v>0</v>
      </c>
      <c r="H70" s="34">
        <v>0</v>
      </c>
      <c r="I70" s="34">
        <v>0</v>
      </c>
    </row>
    <row r="71" spans="2:9">
      <c r="B71" s="36"/>
      <c r="C71" s="3" t="s">
        <v>38</v>
      </c>
      <c r="F71" s="55"/>
      <c r="G71" s="34">
        <v>-7.2</v>
      </c>
      <c r="H71" s="34">
        <v>-9.6</v>
      </c>
      <c r="I71" s="34">
        <v>-9.1</v>
      </c>
    </row>
    <row r="72" spans="2:9">
      <c r="B72" s="36"/>
      <c r="C72" s="3" t="s">
        <v>25</v>
      </c>
      <c r="F72" s="55"/>
      <c r="G72" s="33">
        <v>0.8</v>
      </c>
      <c r="H72" s="33">
        <v>0.6</v>
      </c>
      <c r="I72" s="33">
        <v>-0.5</v>
      </c>
    </row>
    <row r="73" spans="2:9">
      <c r="B73" s="36"/>
      <c r="C73" s="25" t="s">
        <v>39</v>
      </c>
      <c r="F73" s="55"/>
      <c r="G73" s="56">
        <f>SUM(G65:G72)</f>
        <v>-32.400000000000006</v>
      </c>
      <c r="H73" s="56">
        <f>SUM(H65:H72)</f>
        <v>32</v>
      </c>
      <c r="I73" s="56">
        <f>SUM(I65:I72)</f>
        <v>34.4</v>
      </c>
    </row>
    <row r="74" spans="2:9">
      <c r="B74" s="36"/>
      <c r="C74" s="25"/>
      <c r="F74" s="55"/>
    </row>
    <row r="75" spans="2:9">
      <c r="C75" s="28" t="s">
        <v>40</v>
      </c>
      <c r="F75" s="55"/>
      <c r="G75" s="58">
        <f>G73+G61+G54</f>
        <v>-24.599999999999994</v>
      </c>
      <c r="H75" s="58">
        <f>H73+H61+H54</f>
        <v>-1.4999999999999716</v>
      </c>
      <c r="I75" s="58">
        <f>I73+I61+I54</f>
        <v>-7.6999999999999318</v>
      </c>
    </row>
    <row r="76" spans="2:9">
      <c r="C76" s="28" t="s">
        <v>41</v>
      </c>
      <c r="F76" s="55"/>
      <c r="G76" s="33">
        <v>232.79999999999998</v>
      </c>
      <c r="H76" s="59">
        <f>G77</f>
        <v>208.2</v>
      </c>
      <c r="I76" s="59">
        <f>H77</f>
        <v>206.70000000000002</v>
      </c>
    </row>
    <row r="77" spans="2:9">
      <c r="C77" s="30" t="s">
        <v>42</v>
      </c>
      <c r="F77" s="55"/>
      <c r="G77" s="32">
        <f>G76+G75</f>
        <v>208.2</v>
      </c>
      <c r="H77" s="32">
        <f>H76+H75</f>
        <v>206.70000000000002</v>
      </c>
      <c r="I77" s="32">
        <f>I76+I75</f>
        <v>199.00000000000009</v>
      </c>
    </row>
    <row r="78" spans="2:9">
      <c r="B78" s="42"/>
      <c r="C78" s="42"/>
      <c r="D78" s="42"/>
      <c r="E78" s="42"/>
      <c r="F78" s="42"/>
      <c r="G78" s="42"/>
      <c r="H78" s="42"/>
      <c r="I78" s="42"/>
    </row>
    <row r="81" spans="2:9" ht="23.05">
      <c r="B81" s="2" t="str">
        <f>$B$2</f>
        <v>Xcel Stores &amp; Properties</v>
      </c>
      <c r="C81" s="47"/>
      <c r="D81" s="47"/>
      <c r="E81" s="47"/>
      <c r="F81" s="47"/>
      <c r="G81" s="47"/>
      <c r="H81" s="47"/>
      <c r="I81" s="47"/>
    </row>
    <row r="82" spans="2:9" ht="17.850000000000001">
      <c r="B82" s="4" t="s">
        <v>43</v>
      </c>
      <c r="C82" s="47"/>
      <c r="D82" s="47"/>
      <c r="E82" s="47"/>
      <c r="F82" s="47"/>
      <c r="G82" s="47"/>
      <c r="H82" s="47"/>
      <c r="I82" s="47"/>
    </row>
    <row r="83" spans="2:9" ht="6.05" customHeight="1" thickBot="1">
      <c r="B83" s="5"/>
      <c r="C83" s="48"/>
      <c r="D83" s="48"/>
      <c r="E83" s="48"/>
      <c r="F83" s="48"/>
      <c r="G83" s="48"/>
      <c r="H83" s="48"/>
      <c r="I83" s="48"/>
    </row>
    <row r="84" spans="2:9">
      <c r="B84" s="6" t="str">
        <f>$B$5</f>
        <v>Millions for the Year Ended December 31</v>
      </c>
      <c r="D84" s="25"/>
      <c r="E84" s="25"/>
      <c r="G84" s="60"/>
      <c r="H84" s="60"/>
      <c r="I84" s="60"/>
    </row>
    <row r="85" spans="2:9">
      <c r="B85" s="61"/>
      <c r="F85" s="50"/>
      <c r="G85" s="9">
        <f>G$7</f>
        <v>2020</v>
      </c>
      <c r="H85" s="9">
        <f t="shared" ref="H85:I85" si="11">H$7</f>
        <v>2021</v>
      </c>
      <c r="I85" s="9">
        <f t="shared" si="11"/>
        <v>2022</v>
      </c>
    </row>
    <row r="86" spans="2:9">
      <c r="B86" s="25" t="s">
        <v>44</v>
      </c>
    </row>
    <row r="87" spans="2:9">
      <c r="C87" s="3" t="s">
        <v>45</v>
      </c>
      <c r="F87" s="53"/>
      <c r="G87" s="62">
        <v>208.2</v>
      </c>
      <c r="H87" s="62">
        <v>206.70000000000002</v>
      </c>
      <c r="I87" s="62">
        <v>199.00000000000009</v>
      </c>
    </row>
    <row r="88" spans="2:9">
      <c r="C88" s="3" t="s">
        <v>46</v>
      </c>
      <c r="F88" s="53"/>
      <c r="G88" s="34">
        <v>16</v>
      </c>
      <c r="H88" s="34">
        <v>15.1</v>
      </c>
      <c r="I88" s="34">
        <v>20.2</v>
      </c>
    </row>
    <row r="89" spans="2:9">
      <c r="C89" s="3" t="s">
        <v>47</v>
      </c>
      <c r="F89" s="53"/>
      <c r="G89" s="34">
        <v>2.8</v>
      </c>
      <c r="H89" s="34">
        <v>3.6</v>
      </c>
      <c r="I89" s="34">
        <v>4.2</v>
      </c>
    </row>
    <row r="90" spans="2:9">
      <c r="C90" s="35" t="s">
        <v>48</v>
      </c>
      <c r="F90" s="53"/>
      <c r="G90" s="33">
        <v>0.3</v>
      </c>
      <c r="H90" s="33">
        <v>0.2</v>
      </c>
      <c r="I90" s="33">
        <v>0.2</v>
      </c>
    </row>
    <row r="91" spans="2:9">
      <c r="C91" s="30" t="s">
        <v>49</v>
      </c>
      <c r="F91" s="51"/>
      <c r="G91" s="58">
        <f>SUM(G87:G90)</f>
        <v>227.3</v>
      </c>
      <c r="H91" s="58">
        <f t="shared" ref="H91:I91" si="12">SUM(H87:H90)</f>
        <v>225.6</v>
      </c>
      <c r="I91" s="58">
        <f t="shared" si="12"/>
        <v>223.60000000000005</v>
      </c>
    </row>
    <row r="92" spans="2:9" ht="10.95" customHeight="1">
      <c r="F92" s="51"/>
      <c r="G92" s="34"/>
      <c r="H92" s="34"/>
      <c r="I92" s="34"/>
    </row>
    <row r="93" spans="2:9">
      <c r="C93" s="3" t="s">
        <v>50</v>
      </c>
      <c r="F93" s="53"/>
      <c r="G93" s="34">
        <v>2332.1</v>
      </c>
      <c r="H93" s="34">
        <v>2445.6</v>
      </c>
      <c r="I93" s="34">
        <v>2542.1999999999998</v>
      </c>
    </row>
    <row r="94" spans="2:9">
      <c r="C94" s="3" t="s">
        <v>51</v>
      </c>
      <c r="F94" s="53"/>
      <c r="G94" s="34">
        <v>46.6</v>
      </c>
      <c r="H94" s="34">
        <v>34.700000000000003</v>
      </c>
      <c r="I94" s="34">
        <v>31</v>
      </c>
    </row>
    <row r="95" spans="2:9">
      <c r="C95" s="3" t="s">
        <v>52</v>
      </c>
      <c r="F95" s="53"/>
      <c r="G95" s="34">
        <v>15.5</v>
      </c>
      <c r="H95" s="34">
        <v>14.7</v>
      </c>
      <c r="I95" s="34">
        <v>13.1</v>
      </c>
    </row>
    <row r="96" spans="2:9">
      <c r="C96" s="35" t="s">
        <v>53</v>
      </c>
      <c r="F96" s="53"/>
      <c r="G96" s="34">
        <v>4.2</v>
      </c>
      <c r="H96" s="34">
        <v>3.5</v>
      </c>
      <c r="I96" s="34">
        <v>2.1</v>
      </c>
    </row>
    <row r="97" spans="2:9">
      <c r="C97" s="36" t="s">
        <v>54</v>
      </c>
      <c r="F97" s="53"/>
      <c r="G97" s="63">
        <f>SUM(G93:G96)</f>
        <v>2398.3999999999996</v>
      </c>
      <c r="H97" s="63">
        <f t="shared" ref="H97:I97" si="13">SUM(H93:H96)</f>
        <v>2498.4999999999995</v>
      </c>
      <c r="I97" s="63">
        <f t="shared" si="13"/>
        <v>2588.3999999999996</v>
      </c>
    </row>
    <row r="98" spans="2:9" ht="10.95" customHeight="1">
      <c r="C98" s="35"/>
      <c r="F98" s="51"/>
      <c r="G98" s="64"/>
      <c r="H98" s="64"/>
      <c r="I98" s="64"/>
    </row>
    <row r="99" spans="2:9" ht="13.85" thickBot="1">
      <c r="C99" s="25" t="s">
        <v>55</v>
      </c>
      <c r="F99" s="55"/>
      <c r="G99" s="65">
        <f>G91+G97</f>
        <v>2625.7</v>
      </c>
      <c r="H99" s="65">
        <f t="shared" ref="H99:I99" si="14">H91+H97</f>
        <v>2724.0999999999995</v>
      </c>
      <c r="I99" s="65">
        <f t="shared" si="14"/>
        <v>2811.9999999999995</v>
      </c>
    </row>
    <row r="100" spans="2:9" ht="13.85" thickTop="1">
      <c r="F100" s="51"/>
      <c r="G100" s="51"/>
      <c r="H100" s="51"/>
      <c r="I100" s="51"/>
    </row>
    <row r="101" spans="2:9">
      <c r="F101" s="51"/>
      <c r="G101" s="51"/>
      <c r="H101" s="51"/>
      <c r="I101" s="51"/>
    </row>
    <row r="102" spans="2:9">
      <c r="B102" s="30" t="s">
        <v>56</v>
      </c>
      <c r="F102" s="51"/>
      <c r="G102" s="51"/>
      <c r="H102" s="51"/>
      <c r="I102" s="51"/>
    </row>
    <row r="103" spans="2:9">
      <c r="C103" s="35" t="s">
        <v>57</v>
      </c>
      <c r="F103" s="53"/>
      <c r="G103" s="34">
        <v>0</v>
      </c>
      <c r="H103" s="34">
        <v>0</v>
      </c>
      <c r="I103" s="34">
        <v>0</v>
      </c>
    </row>
    <row r="104" spans="2:9">
      <c r="C104" s="35" t="s">
        <v>58</v>
      </c>
      <c r="F104" s="53"/>
      <c r="G104" s="52">
        <v>14.9</v>
      </c>
      <c r="H104" s="52">
        <v>21.5</v>
      </c>
      <c r="I104" s="52">
        <v>23.9</v>
      </c>
    </row>
    <row r="105" spans="2:9">
      <c r="C105" s="35" t="s">
        <v>59</v>
      </c>
      <c r="F105" s="53"/>
      <c r="G105" s="33">
        <v>4.5999999999999996</v>
      </c>
      <c r="H105" s="33">
        <v>5.0999999999999996</v>
      </c>
      <c r="I105" s="33">
        <v>4.9000000000000004</v>
      </c>
    </row>
    <row r="106" spans="2:9">
      <c r="C106" s="30" t="s">
        <v>60</v>
      </c>
      <c r="F106" s="51"/>
      <c r="G106" s="58">
        <f>SUM(G103:G105)</f>
        <v>19.5</v>
      </c>
      <c r="H106" s="58">
        <f t="shared" ref="H106:I106" si="15">SUM(H103:H105)</f>
        <v>26.6</v>
      </c>
      <c r="I106" s="58">
        <f t="shared" si="15"/>
        <v>28.799999999999997</v>
      </c>
    </row>
    <row r="107" spans="2:9" ht="10.95" customHeight="1">
      <c r="F107" s="51"/>
      <c r="G107" s="51"/>
      <c r="H107" s="51"/>
      <c r="I107" s="51"/>
    </row>
    <row r="108" spans="2:9">
      <c r="C108" s="35" t="s">
        <v>61</v>
      </c>
      <c r="F108" s="66"/>
      <c r="G108" s="34">
        <v>577.70000000000005</v>
      </c>
      <c r="H108" s="34">
        <v>597.70000000000005</v>
      </c>
      <c r="I108" s="34">
        <v>622.70000000000005</v>
      </c>
    </row>
    <row r="109" spans="2:9">
      <c r="C109" s="35" t="s">
        <v>62</v>
      </c>
      <c r="F109" s="66"/>
      <c r="G109" s="34">
        <v>174.6</v>
      </c>
      <c r="H109" s="34">
        <v>199.6</v>
      </c>
      <c r="I109" s="34">
        <v>224.6</v>
      </c>
    </row>
    <row r="110" spans="2:9">
      <c r="C110" s="3" t="s">
        <v>17</v>
      </c>
      <c r="F110" s="66"/>
      <c r="G110" s="34">
        <v>10.4</v>
      </c>
      <c r="H110" s="34">
        <v>22.200000000000003</v>
      </c>
      <c r="I110" s="34">
        <v>30.6</v>
      </c>
    </row>
    <row r="111" spans="2:9">
      <c r="C111" s="35" t="s">
        <v>63</v>
      </c>
      <c r="F111" s="66"/>
      <c r="G111" s="33">
        <v>2.4</v>
      </c>
      <c r="H111" s="33">
        <v>3.6</v>
      </c>
      <c r="I111" s="33">
        <v>3.2</v>
      </c>
    </row>
    <row r="112" spans="2:9">
      <c r="C112" s="36" t="s">
        <v>64</v>
      </c>
      <c r="F112" s="53"/>
      <c r="G112" s="58">
        <f>SUM(G108:G111)</f>
        <v>765.1</v>
      </c>
      <c r="H112" s="58">
        <f t="shared" ref="H112:I112" si="16">SUM(H108:H111)</f>
        <v>823.10000000000014</v>
      </c>
      <c r="I112" s="58">
        <f t="shared" si="16"/>
        <v>881.10000000000014</v>
      </c>
    </row>
    <row r="113" spans="2:9" ht="10.95" customHeight="1">
      <c r="C113" s="30"/>
      <c r="F113" s="51"/>
      <c r="G113" s="64"/>
      <c r="H113" s="64"/>
      <c r="I113" s="64"/>
    </row>
    <row r="114" spans="2:9">
      <c r="C114" s="36" t="s">
        <v>65</v>
      </c>
      <c r="F114" s="55"/>
      <c r="G114" s="32">
        <f>G106+G112</f>
        <v>784.6</v>
      </c>
      <c r="H114" s="32">
        <f t="shared" ref="H114:I114" si="17">H106+H112</f>
        <v>849.70000000000016</v>
      </c>
      <c r="I114" s="32">
        <f t="shared" si="17"/>
        <v>909.90000000000009</v>
      </c>
    </row>
    <row r="115" spans="2:9" ht="10.95" customHeight="1">
      <c r="F115" s="51"/>
      <c r="G115" s="51"/>
      <c r="H115" s="51"/>
      <c r="I115" s="51"/>
    </row>
    <row r="116" spans="2:9">
      <c r="C116" s="3" t="s">
        <v>66</v>
      </c>
      <c r="F116" s="51"/>
      <c r="G116" s="34">
        <v>0</v>
      </c>
      <c r="H116" s="34">
        <v>0</v>
      </c>
      <c r="I116" s="34">
        <v>0</v>
      </c>
    </row>
    <row r="117" spans="2:9">
      <c r="C117" s="3" t="s">
        <v>67</v>
      </c>
      <c r="F117" s="51"/>
      <c r="G117" s="34">
        <v>1653.2</v>
      </c>
      <c r="H117" s="34">
        <v>1649.2</v>
      </c>
      <c r="I117" s="34">
        <v>1643.2</v>
      </c>
    </row>
    <row r="118" spans="2:9">
      <c r="C118" s="3" t="s">
        <v>68</v>
      </c>
      <c r="F118" s="51"/>
      <c r="G118" s="34">
        <v>175.1</v>
      </c>
      <c r="H118" s="34">
        <v>211.00000000000003</v>
      </c>
      <c r="I118" s="34">
        <v>245.00000000000003</v>
      </c>
    </row>
    <row r="119" spans="2:9">
      <c r="C119" s="3" t="s">
        <v>69</v>
      </c>
      <c r="F119" s="51"/>
      <c r="G119" s="33">
        <v>12.8</v>
      </c>
      <c r="H119" s="33">
        <v>14.2</v>
      </c>
      <c r="I119" s="33">
        <v>13.9</v>
      </c>
    </row>
    <row r="120" spans="2:9">
      <c r="C120" s="30" t="s">
        <v>70</v>
      </c>
      <c r="F120" s="53"/>
      <c r="G120" s="32">
        <f>SUM(G116:G119)</f>
        <v>1841.1</v>
      </c>
      <c r="H120" s="32">
        <f t="shared" ref="H120:I120" si="18">SUM(H116:H119)</f>
        <v>1874.4</v>
      </c>
      <c r="I120" s="32">
        <f t="shared" si="18"/>
        <v>1902.1000000000001</v>
      </c>
    </row>
    <row r="121" spans="2:9">
      <c r="F121" s="51"/>
      <c r="G121" s="51"/>
      <c r="H121" s="51"/>
      <c r="I121" s="51"/>
    </row>
    <row r="122" spans="2:9" ht="13.85" thickBot="1">
      <c r="B122" s="30" t="s">
        <v>71</v>
      </c>
      <c r="F122" s="55"/>
      <c r="G122" s="65">
        <f>G120+G114</f>
        <v>2625.7</v>
      </c>
      <c r="H122" s="65">
        <f>H120+H114</f>
        <v>2724.1000000000004</v>
      </c>
      <c r="I122" s="65">
        <f t="shared" ref="I122" si="19">I120+I114</f>
        <v>2812</v>
      </c>
    </row>
    <row r="123" spans="2:9" ht="6.05" customHeight="1" thickTop="1">
      <c r="F123" s="67"/>
      <c r="G123" s="67"/>
      <c r="H123" s="67"/>
      <c r="I123" s="67"/>
    </row>
    <row r="124" spans="2:9" ht="6.05" customHeight="1">
      <c r="B124" s="68"/>
      <c r="C124" s="42"/>
      <c r="D124" s="42"/>
      <c r="E124" s="42"/>
      <c r="F124" s="42"/>
      <c r="G124" s="42"/>
      <c r="H124" s="42"/>
      <c r="I124" s="42"/>
    </row>
    <row r="125" spans="2:9">
      <c r="B125" s="49"/>
    </row>
    <row r="126" spans="2:9">
      <c r="G126" s="69">
        <f>G122-G99</f>
        <v>0</v>
      </c>
      <c r="H126" s="69">
        <f>H122-H99</f>
        <v>0</v>
      </c>
      <c r="I126" s="69">
        <f>I122-I99</f>
        <v>0</v>
      </c>
    </row>
  </sheetData>
  <sheetProtection formatCells="0"/>
  <printOptions horizontalCentered="1"/>
  <pageMargins left="0.25" right="0.25" top="0.25" bottom="0.5" header="0.25" footer="0.25"/>
  <pageSetup scale="90" orientation="portrait" r:id="rId1"/>
  <headerFooter alignWithMargins="0">
    <oddFooter>&amp;LStowaway Self Storage LLC
Printed on &amp;D @ &amp;T&amp;CPage &amp;P of &amp;N&amp;RSheet Name: &amp;A
File Name: &amp;F</oddFooter>
  </headerFooter>
  <rowBreaks count="2" manualBreakCount="2">
    <brk id="39" max="16383" man="1"/>
    <brk id="79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EFD28-0E0E-4693-AF79-B3BB80319A4D}">
  <sheetPr>
    <pageSetUpPr fitToPage="1"/>
  </sheetPr>
  <dimension ref="A1:Y96"/>
  <sheetViews>
    <sheetView showGridLines="0" zoomScaleNormal="100" workbookViewId="0">
      <pane ySplit="5" topLeftCell="A6" activePane="bottomLeft" state="frozen"/>
      <selection activeCell="F13" sqref="F13"/>
      <selection pane="bottomLeft" activeCell="A6" sqref="A6"/>
    </sheetView>
  </sheetViews>
  <sheetFormatPr defaultRowHeight="12.7"/>
  <cols>
    <col min="1" max="1" width="5.21875" customWidth="1"/>
    <col min="2" max="2" width="4.21875" customWidth="1"/>
    <col min="3" max="3" width="5.21875" customWidth="1"/>
    <col min="4" max="4" width="29.77734375" customWidth="1"/>
    <col min="5" max="5" width="5.77734375" customWidth="1"/>
    <col min="6" max="6" width="18" customWidth="1"/>
    <col min="7" max="7" width="1.5546875" customWidth="1"/>
    <col min="8" max="8" width="1.77734375" customWidth="1"/>
    <col min="17" max="17" width="2.44140625" customWidth="1"/>
    <col min="18" max="18" width="4.44140625" customWidth="1"/>
  </cols>
  <sheetData>
    <row r="1" spans="1:25">
      <c r="A1" s="79"/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</row>
    <row r="2" spans="1:25">
      <c r="A2" s="79"/>
      <c r="B2" s="79" t="str">
        <f>Cover!B4</f>
        <v>Xcel Stores &amp; Properties</v>
      </c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</row>
    <row r="3" spans="1:25">
      <c r="A3" s="79"/>
      <c r="B3" s="79"/>
      <c r="C3" s="79" t="s">
        <v>78</v>
      </c>
      <c r="D3" s="79"/>
      <c r="E3" s="79"/>
      <c r="F3" s="79"/>
      <c r="G3" s="79"/>
      <c r="H3" s="79"/>
      <c r="I3" s="80" t="str">
        <f>IF(BalCheck=0,"Bal check: OK","ERROR")</f>
        <v>Bal check: OK</v>
      </c>
      <c r="J3" s="81"/>
      <c r="K3" s="80" t="str" cm="1">
        <f t="array" ref="K3">"Scenario: "&amp;INDEX(S_List,S_Scenario)</f>
        <v>Scenario: Base Case</v>
      </c>
      <c r="L3" s="81"/>
      <c r="M3" s="79"/>
      <c r="N3" s="79"/>
      <c r="O3" s="79"/>
      <c r="P3" s="79"/>
    </row>
    <row r="4" spans="1:25">
      <c r="I4" t="s">
        <v>79</v>
      </c>
      <c r="J4" t="s">
        <v>79</v>
      </c>
      <c r="K4" t="s">
        <v>79</v>
      </c>
      <c r="L4" t="s">
        <v>80</v>
      </c>
      <c r="M4" t="s">
        <v>80</v>
      </c>
      <c r="N4" t="s">
        <v>80</v>
      </c>
      <c r="O4" t="s">
        <v>80</v>
      </c>
      <c r="P4" t="s">
        <v>80</v>
      </c>
    </row>
    <row r="5" spans="1:25">
      <c r="E5" t="s">
        <v>81</v>
      </c>
      <c r="F5" t="s">
        <v>82</v>
      </c>
      <c r="I5" s="83">
        <f>Historical!G7</f>
        <v>2020</v>
      </c>
      <c r="J5" s="83">
        <f>I5+1</f>
        <v>2021</v>
      </c>
      <c r="K5" s="83">
        <f t="shared" ref="K5:P5" si="0">J5+1</f>
        <v>2022</v>
      </c>
      <c r="L5" s="84">
        <f t="shared" si="0"/>
        <v>2023</v>
      </c>
      <c r="M5" s="84">
        <f t="shared" si="0"/>
        <v>2024</v>
      </c>
      <c r="N5" s="84">
        <f t="shared" si="0"/>
        <v>2025</v>
      </c>
      <c r="O5" s="84">
        <f t="shared" si="0"/>
        <v>2026</v>
      </c>
      <c r="P5" s="84">
        <f t="shared" si="0"/>
        <v>2027</v>
      </c>
      <c r="R5" s="135">
        <v>2</v>
      </c>
    </row>
    <row r="7" spans="1:25" ht="13.25" thickBot="1">
      <c r="B7" s="85" t="s">
        <v>83</v>
      </c>
      <c r="C7" s="85"/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</row>
    <row r="9" spans="1:25">
      <c r="C9" s="70" t="s">
        <v>6</v>
      </c>
    </row>
    <row r="10" spans="1:25">
      <c r="D10" t="s">
        <v>84</v>
      </c>
      <c r="E10" t="s">
        <v>85</v>
      </c>
      <c r="I10">
        <v>234.1</v>
      </c>
      <c r="J10">
        <v>258.7</v>
      </c>
      <c r="K10">
        <v>278.89999999999998</v>
      </c>
      <c r="L10">
        <v>304.28829787234048</v>
      </c>
      <c r="M10">
        <v>330.94888361702135</v>
      </c>
      <c r="N10">
        <v>358.93524503829786</v>
      </c>
      <c r="O10">
        <v>388.30293414959573</v>
      </c>
      <c r="P10">
        <v>419.10964288703707</v>
      </c>
    </row>
    <row r="11" spans="1:25">
      <c r="D11" t="s">
        <v>86</v>
      </c>
      <c r="E11" t="s">
        <v>87</v>
      </c>
      <c r="I11" s="87">
        <v>0</v>
      </c>
      <c r="J11" s="87">
        <v>0.10508329773601033</v>
      </c>
      <c r="K11" s="87">
        <v>7.8082721298801561E-2</v>
      </c>
      <c r="L11" s="87">
        <v>9.1030110693225197E-2</v>
      </c>
      <c r="M11" s="87">
        <v>8.7616204537270592E-2</v>
      </c>
      <c r="N11" s="87">
        <v>8.4564000081845725E-2</v>
      </c>
      <c r="O11" s="87">
        <v>8.181890610425957E-2</v>
      </c>
      <c r="P11" s="87">
        <v>7.9336791015781838E-2</v>
      </c>
      <c r="R11" s="133"/>
      <c r="S11" s="133"/>
      <c r="T11" s="133"/>
      <c r="U11" s="133"/>
      <c r="V11" s="133"/>
      <c r="W11" s="133"/>
      <c r="X11" s="133"/>
      <c r="Y11" s="133"/>
    </row>
    <row r="13" spans="1:25">
      <c r="C13" s="70" t="s">
        <v>11</v>
      </c>
      <c r="I13" s="133"/>
      <c r="J13" s="133"/>
      <c r="K13" s="133"/>
      <c r="L13" s="133"/>
      <c r="M13" s="133"/>
      <c r="N13" s="133"/>
      <c r="O13" s="133"/>
      <c r="P13" s="133"/>
      <c r="R13" s="133"/>
      <c r="S13" s="133"/>
      <c r="T13" s="133"/>
      <c r="U13" s="133"/>
      <c r="V13" s="133"/>
      <c r="W13" s="133"/>
      <c r="X13" s="133"/>
      <c r="Y13" s="133"/>
    </row>
    <row r="14" spans="1:25">
      <c r="D14" t="s">
        <v>11</v>
      </c>
      <c r="E14" t="s">
        <v>85</v>
      </c>
      <c r="I14">
        <v>145</v>
      </c>
      <c r="J14">
        <v>150.80000000000001</v>
      </c>
      <c r="K14">
        <v>158.5</v>
      </c>
      <c r="L14">
        <v>124.14137021276599</v>
      </c>
      <c r="M14">
        <v>138.42946663829792</v>
      </c>
      <c r="N14">
        <v>153.46312161617018</v>
      </c>
      <c r="O14">
        <v>169.27420937274039</v>
      </c>
      <c r="P14">
        <v>185.8958455852503</v>
      </c>
    </row>
    <row r="15" spans="1:25">
      <c r="D15" t="s">
        <v>88</v>
      </c>
      <c r="E15" t="s">
        <v>87</v>
      </c>
      <c r="I15" s="133">
        <v>0.61939342161469457</v>
      </c>
      <c r="J15" s="133">
        <v>0.58291457286432169</v>
      </c>
      <c r="K15" s="133">
        <v>0.56830405163140918</v>
      </c>
      <c r="L15" s="133">
        <v>0.40797287007352356</v>
      </c>
      <c r="M15" s="133">
        <v>0.41828050641950626</v>
      </c>
      <c r="N15" s="133">
        <v>0.42755099628011145</v>
      </c>
      <c r="O15" s="133">
        <v>0.43593337697398549</v>
      </c>
      <c r="P15" s="133">
        <v>0.44354943566725558</v>
      </c>
      <c r="R15" s="133"/>
      <c r="S15" s="133"/>
      <c r="T15" s="133"/>
      <c r="U15" s="133"/>
      <c r="V15" s="133"/>
      <c r="W15" s="133"/>
      <c r="X15" s="133"/>
      <c r="Y15" s="133"/>
    </row>
    <row r="16" spans="1:25">
      <c r="D16" t="s">
        <v>89</v>
      </c>
      <c r="E16" t="s">
        <v>87</v>
      </c>
      <c r="I16" s="87">
        <v>0</v>
      </c>
      <c r="J16" s="87">
        <v>4.0000000000000036E-2</v>
      </c>
      <c r="K16" s="87">
        <v>5.1061007957559523E-2</v>
      </c>
      <c r="L16" s="87">
        <v>-0.21677368950936282</v>
      </c>
      <c r="M16" s="87">
        <v>0.11509536588039548</v>
      </c>
      <c r="N16" s="87">
        <v>0.10860155242202629</v>
      </c>
      <c r="O16" s="87">
        <v>0.10302858165569995</v>
      </c>
      <c r="P16" s="87">
        <v>9.8193553962548474E-2</v>
      </c>
      <c r="R16" s="133"/>
      <c r="S16" s="133"/>
      <c r="T16" s="133"/>
      <c r="U16" s="133"/>
      <c r="V16" s="133"/>
      <c r="W16" s="133"/>
      <c r="X16" s="133"/>
      <c r="Y16" s="133"/>
    </row>
    <row r="18" spans="2:25">
      <c r="C18" s="70" t="s">
        <v>19</v>
      </c>
    </row>
    <row r="19" spans="2:25">
      <c r="D19" t="s">
        <v>19</v>
      </c>
      <c r="E19" t="s">
        <v>85</v>
      </c>
      <c r="I19">
        <v>48.099999999999994</v>
      </c>
      <c r="J19">
        <v>45.500000000000014</v>
      </c>
      <c r="K19">
        <v>43.100000000000009</v>
      </c>
      <c r="L19">
        <v>13.836906143617046</v>
      </c>
      <c r="M19">
        <v>19.511661353487142</v>
      </c>
      <c r="N19">
        <v>21.802242787500472</v>
      </c>
      <c r="O19">
        <v>23.241397863115772</v>
      </c>
      <c r="P19">
        <v>26.280825496477604</v>
      </c>
    </row>
    <row r="20" spans="2:25">
      <c r="D20" t="s">
        <v>90</v>
      </c>
      <c r="E20" t="s">
        <v>87</v>
      </c>
      <c r="I20" s="133">
        <v>0.20546774882528832</v>
      </c>
      <c r="J20" s="133">
        <v>0.17587939698492469</v>
      </c>
      <c r="K20" s="133">
        <v>0.15453567586948733</v>
      </c>
      <c r="L20" s="133">
        <v>4.5473014376064207E-2</v>
      </c>
      <c r="M20" s="133">
        <v>5.8956722078163305E-2</v>
      </c>
      <c r="N20" s="133">
        <v>6.0741437596004831E-2</v>
      </c>
      <c r="O20" s="133">
        <v>5.985377863295234E-2</v>
      </c>
      <c r="P20" s="133">
        <v>6.2706325045260511E-2</v>
      </c>
      <c r="R20" s="133"/>
      <c r="S20" s="133"/>
      <c r="T20" s="133"/>
      <c r="U20" s="133"/>
      <c r="V20" s="133"/>
      <c r="W20" s="133"/>
      <c r="X20" s="133"/>
      <c r="Y20" s="133"/>
    </row>
    <row r="21" spans="2:25">
      <c r="D21" t="s">
        <v>91</v>
      </c>
      <c r="E21" t="s">
        <v>87</v>
      </c>
      <c r="I21" s="87">
        <v>0</v>
      </c>
      <c r="J21" s="87">
        <v>-5.4054054054053613E-2</v>
      </c>
      <c r="K21" s="87">
        <v>-5.2747252747252893E-2</v>
      </c>
      <c r="L21" s="87">
        <v>-0.67895809411561392</v>
      </c>
      <c r="M21" s="87">
        <v>0.4101173449447626</v>
      </c>
      <c r="N21" s="87">
        <v>0.11739550992176051</v>
      </c>
      <c r="O21" s="87">
        <v>6.6009496804630974E-2</v>
      </c>
      <c r="P21" s="87">
        <v>0.13077645549820471</v>
      </c>
      <c r="R21" s="133"/>
      <c r="S21" s="133"/>
      <c r="T21" s="133"/>
      <c r="U21" s="133"/>
      <c r="V21" s="133"/>
      <c r="W21" s="133"/>
      <c r="X21" s="133"/>
      <c r="Y21" s="133"/>
    </row>
    <row r="23" spans="2:25">
      <c r="C23" s="70" t="s">
        <v>92</v>
      </c>
    </row>
    <row r="24" spans="2:25">
      <c r="D24" t="s">
        <v>93</v>
      </c>
      <c r="E24" t="s">
        <v>87</v>
      </c>
      <c r="I24" s="133">
        <v>2.6125685731356253E-2</v>
      </c>
      <c r="J24" s="133">
        <v>2.4274434485702098E-2</v>
      </c>
      <c r="K24" s="133">
        <v>2.2659166184743181E-2</v>
      </c>
      <c r="L24" s="133">
        <v>7.2709824539953843E-3</v>
      </c>
      <c r="M24" s="133">
        <v>7.9331956372145265E-3</v>
      </c>
      <c r="N24" s="133">
        <v>9.0396580396973087E-3</v>
      </c>
      <c r="O24" s="133">
        <v>9.6955981816507653E-3</v>
      </c>
      <c r="P24" s="133">
        <v>1.1128440234847803E-2</v>
      </c>
      <c r="R24" s="133"/>
      <c r="S24" s="133"/>
      <c r="T24" s="133"/>
      <c r="U24" s="133"/>
      <c r="V24" s="133"/>
      <c r="W24" s="133"/>
      <c r="X24" s="133"/>
      <c r="Y24" s="133"/>
    </row>
    <row r="25" spans="2:25">
      <c r="D25" t="s">
        <v>94</v>
      </c>
      <c r="E25" t="s">
        <v>87</v>
      </c>
      <c r="I25" s="133">
        <v>0.20546774882528832</v>
      </c>
      <c r="J25" s="133">
        <v>0.17587939698492469</v>
      </c>
      <c r="K25" s="133">
        <v>0.15453567586948733</v>
      </c>
      <c r="L25" s="133">
        <v>4.5473014376064207E-2</v>
      </c>
      <c r="M25" s="133">
        <v>5.8956722078163305E-2</v>
      </c>
      <c r="N25" s="133">
        <v>6.0741437596004831E-2</v>
      </c>
      <c r="O25" s="133">
        <v>5.985377863295234E-2</v>
      </c>
      <c r="P25" s="133">
        <v>6.2706325045260511E-2</v>
      </c>
      <c r="R25" s="133"/>
      <c r="S25" s="133"/>
      <c r="T25" s="133"/>
      <c r="U25" s="133"/>
      <c r="V25" s="133"/>
      <c r="W25" s="133"/>
      <c r="X25" s="133"/>
      <c r="Y25" s="133"/>
    </row>
    <row r="26" spans="2:25">
      <c r="D26" t="s">
        <v>95</v>
      </c>
      <c r="E26" t="s">
        <v>96</v>
      </c>
      <c r="I26" s="90">
        <v>8.9157177133716722E-2</v>
      </c>
      <c r="J26" s="90">
        <v>9.4967145112147142E-2</v>
      </c>
      <c r="K26" s="90">
        <v>9.9182076813655776E-2</v>
      </c>
      <c r="L26" s="90">
        <v>0.11281301473634578</v>
      </c>
      <c r="M26" s="90">
        <v>0.11950492595676072</v>
      </c>
      <c r="N26" s="90">
        <v>0.12637757534580979</v>
      </c>
      <c r="O26" s="90">
        <v>0.13388274944779258</v>
      </c>
      <c r="P26" s="90">
        <v>0.14202351574184754</v>
      </c>
      <c r="R26" s="134"/>
      <c r="S26" s="134"/>
      <c r="T26" s="134"/>
      <c r="U26" s="134"/>
      <c r="V26" s="134"/>
      <c r="W26" s="134"/>
      <c r="X26" s="134"/>
      <c r="Y26" s="134"/>
    </row>
    <row r="27" spans="2:25">
      <c r="D27" t="s">
        <v>97</v>
      </c>
      <c r="E27" t="s">
        <v>96</v>
      </c>
      <c r="I27" s="90">
        <v>1.4261582749443267</v>
      </c>
      <c r="J27" s="90">
        <v>1.4533183952198032</v>
      </c>
      <c r="K27" s="90">
        <v>1.4783660165080696</v>
      </c>
      <c r="L27" s="90">
        <v>1.4173599185564705</v>
      </c>
      <c r="M27" s="90">
        <v>1.4163316587650634</v>
      </c>
      <c r="N27" s="90">
        <v>1.4421929514208311</v>
      </c>
      <c r="O27" s="90">
        <v>1.4614502586186795</v>
      </c>
      <c r="P27" s="90">
        <v>1.4739081302302095</v>
      </c>
      <c r="R27" s="134"/>
      <c r="S27" s="134"/>
      <c r="T27" s="134"/>
      <c r="U27" s="134"/>
      <c r="V27" s="134"/>
      <c r="W27" s="134"/>
      <c r="X27" s="134"/>
      <c r="Y27" s="134"/>
    </row>
    <row r="30" spans="2:25" ht="13.25" thickBot="1">
      <c r="B30" s="85" t="s">
        <v>98</v>
      </c>
      <c r="C30" s="85"/>
      <c r="D30" s="85"/>
      <c r="E30" s="85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</row>
    <row r="32" spans="2:25">
      <c r="C32" s="70" t="s">
        <v>6</v>
      </c>
    </row>
    <row r="33" spans="3:16">
      <c r="D33" t="s">
        <v>84</v>
      </c>
      <c r="E33" t="s">
        <v>85</v>
      </c>
      <c r="I33">
        <v>234.1</v>
      </c>
      <c r="J33">
        <v>258.7</v>
      </c>
      <c r="K33">
        <v>278.89999999999998</v>
      </c>
      <c r="L33">
        <v>309.70697872340423</v>
      </c>
      <c r="M33">
        <v>339.44669617021276</v>
      </c>
      <c r="N33">
        <v>370.69410038297866</v>
      </c>
      <c r="O33">
        <v>403.51292762195749</v>
      </c>
      <c r="P33">
        <v>437.96938222093024</v>
      </c>
    </row>
    <row r="34" spans="3:16">
      <c r="D34" t="s">
        <v>86</v>
      </c>
      <c r="E34" t="s">
        <v>87</v>
      </c>
      <c r="I34" s="87">
        <v>0</v>
      </c>
      <c r="J34" s="87">
        <v>0.10508329773601033</v>
      </c>
      <c r="K34" s="87">
        <v>7.8082721298801561E-2</v>
      </c>
      <c r="L34" s="87">
        <v>0.11045886957118767</v>
      </c>
      <c r="M34" s="87">
        <v>9.6025338432456531E-2</v>
      </c>
      <c r="N34" s="87">
        <v>9.2053935316834368E-2</v>
      </c>
      <c r="O34" s="87">
        <v>8.8533449021908961E-2</v>
      </c>
      <c r="P34" s="87">
        <v>8.5391203702039231E-2</v>
      </c>
    </row>
    <row r="36" spans="3:16">
      <c r="C36" s="70" t="s">
        <v>11</v>
      </c>
      <c r="I36" s="133"/>
      <c r="J36" s="133"/>
      <c r="K36" s="133"/>
      <c r="L36" s="133"/>
      <c r="M36" s="133"/>
      <c r="N36" s="133"/>
      <c r="O36" s="133"/>
      <c r="P36" s="133"/>
    </row>
    <row r="37" spans="3:16">
      <c r="D37" t="s">
        <v>11</v>
      </c>
      <c r="E37" t="s">
        <v>85</v>
      </c>
      <c r="I37">
        <v>145</v>
      </c>
      <c r="J37">
        <v>150.80000000000001</v>
      </c>
      <c r="K37">
        <v>158.5</v>
      </c>
      <c r="L37">
        <v>129.94975744680846</v>
      </c>
      <c r="M37">
        <v>148.12198876595741</v>
      </c>
      <c r="N37">
        <v>167.41111029446799</v>
      </c>
      <c r="O37">
        <v>187.86985342478295</v>
      </c>
      <c r="P37">
        <v>209.55313374678073</v>
      </c>
    </row>
    <row r="38" spans="3:16">
      <c r="D38" t="s">
        <v>88</v>
      </c>
      <c r="E38" t="s">
        <v>87</v>
      </c>
      <c r="I38" s="133">
        <v>0.61939342161469457</v>
      </c>
      <c r="J38" s="133">
        <v>0.58291457286432169</v>
      </c>
      <c r="K38" s="133">
        <v>0.56830405163140918</v>
      </c>
      <c r="L38" s="133">
        <v>0.41958937439012345</v>
      </c>
      <c r="M38" s="133">
        <v>0.43636302971021657</v>
      </c>
      <c r="N38" s="133">
        <v>0.45161525398302532</v>
      </c>
      <c r="O38" s="133">
        <v>0.46558571129793924</v>
      </c>
      <c r="P38" s="133">
        <v>0.47846525865379624</v>
      </c>
    </row>
    <row r="39" spans="3:16">
      <c r="D39" t="s">
        <v>89</v>
      </c>
      <c r="E39" t="s">
        <v>87</v>
      </c>
      <c r="I39" s="87">
        <v>0</v>
      </c>
      <c r="J39" s="87">
        <v>4.0000000000000036E-2</v>
      </c>
      <c r="K39" s="87">
        <v>5.1061007957559523E-2</v>
      </c>
      <c r="L39" s="87">
        <v>-0.18012771326934729</v>
      </c>
      <c r="M39" s="87">
        <v>0.13984044046090105</v>
      </c>
      <c r="N39" s="87">
        <v>0.13022456482803957</v>
      </c>
      <c r="O39" s="87">
        <v>0.12220660321963717</v>
      </c>
      <c r="P39" s="87">
        <v>0.11541649672217935</v>
      </c>
    </row>
    <row r="41" spans="3:16">
      <c r="C41" s="70" t="s">
        <v>19</v>
      </c>
    </row>
    <row r="42" spans="3:16">
      <c r="D42" t="s">
        <v>19</v>
      </c>
      <c r="E42" t="s">
        <v>85</v>
      </c>
      <c r="I42">
        <v>48.099999999999994</v>
      </c>
      <c r="J42">
        <v>45.500000000000014</v>
      </c>
      <c r="K42">
        <v>43.100000000000009</v>
      </c>
      <c r="L42">
        <v>17.757567526595714</v>
      </c>
      <c r="M42">
        <v>26.152332077985768</v>
      </c>
      <c r="N42">
        <v>31.497752522475686</v>
      </c>
      <c r="O42">
        <v>36.343914760451028</v>
      </c>
      <c r="P42">
        <v>43.167674003944256</v>
      </c>
    </row>
    <row r="43" spans="3:16">
      <c r="D43" t="s">
        <v>90</v>
      </c>
      <c r="E43" t="s">
        <v>87</v>
      </c>
      <c r="I43" s="133">
        <v>0.20546774882528832</v>
      </c>
      <c r="J43" s="133">
        <v>0.17587939698492469</v>
      </c>
      <c r="K43" s="133">
        <v>0.15453567586948733</v>
      </c>
      <c r="L43" s="133">
        <v>5.7336672230608003E-2</v>
      </c>
      <c r="M43" s="133">
        <v>7.7044002410534274E-2</v>
      </c>
      <c r="N43" s="133">
        <v>8.4969662290104206E-2</v>
      </c>
      <c r="O43" s="133">
        <v>9.0068774189313847E-2</v>
      </c>
      <c r="P43" s="133">
        <v>9.8563223266983219E-2</v>
      </c>
    </row>
    <row r="44" spans="3:16">
      <c r="D44" t="s">
        <v>91</v>
      </c>
      <c r="E44" t="s">
        <v>87</v>
      </c>
      <c r="I44" s="87">
        <v>0</v>
      </c>
      <c r="J44" s="87">
        <v>-5.4054054054053613E-2</v>
      </c>
      <c r="K44" s="87">
        <v>-5.2747252747252893E-2</v>
      </c>
      <c r="L44" s="87">
        <v>-0.58799147270079555</v>
      </c>
      <c r="M44" s="87">
        <v>0.47274293277033119</v>
      </c>
      <c r="N44" s="87">
        <v>0.20439555556842781</v>
      </c>
      <c r="O44" s="87">
        <v>0.15385739774662621</v>
      </c>
      <c r="P44" s="87">
        <v>0.18775520712256211</v>
      </c>
    </row>
    <row r="46" spans="3:16">
      <c r="C46" s="70" t="s">
        <v>92</v>
      </c>
    </row>
    <row r="47" spans="3:16">
      <c r="D47" t="s">
        <v>93</v>
      </c>
      <c r="E47" t="s">
        <v>87</v>
      </c>
      <c r="I47" s="133">
        <v>2.6125685731356253E-2</v>
      </c>
      <c r="J47" s="133">
        <v>2.4274434485702098E-2</v>
      </c>
      <c r="K47" s="133">
        <v>2.2659166184743181E-2</v>
      </c>
      <c r="L47" s="133">
        <v>9.3160391486330155E-3</v>
      </c>
      <c r="M47" s="133">
        <v>1.1281323560034381E-2</v>
      </c>
      <c r="N47" s="133">
        <v>1.3850315660252301E-2</v>
      </c>
      <c r="O47" s="133">
        <v>1.6084268059084143E-2</v>
      </c>
      <c r="P47" s="133">
        <v>1.9182480050705109E-2</v>
      </c>
    </row>
    <row r="48" spans="3:16">
      <c r="D48" t="s">
        <v>94</v>
      </c>
      <c r="E48" t="s">
        <v>87</v>
      </c>
      <c r="I48" s="133">
        <v>0.20546774882528832</v>
      </c>
      <c r="J48" s="133">
        <v>0.17587939698492469</v>
      </c>
      <c r="K48" s="133">
        <v>0.15453567586948733</v>
      </c>
      <c r="L48" s="133">
        <v>5.7336672230608003E-2</v>
      </c>
      <c r="M48" s="133">
        <v>7.7044002410534274E-2</v>
      </c>
      <c r="N48" s="133">
        <v>8.4969662290104206E-2</v>
      </c>
      <c r="O48" s="133">
        <v>9.0068774189313847E-2</v>
      </c>
      <c r="P48" s="133">
        <v>9.8563223266983219E-2</v>
      </c>
    </row>
    <row r="49" spans="2:16">
      <c r="D49" t="s">
        <v>95</v>
      </c>
      <c r="E49" t="s">
        <v>96</v>
      </c>
      <c r="I49" s="90">
        <v>8.9157177133716722E-2</v>
      </c>
      <c r="J49" s="90">
        <v>9.4967145112147142E-2</v>
      </c>
      <c r="K49" s="90">
        <v>9.9182076813655776E-2</v>
      </c>
      <c r="L49" s="90">
        <v>0.1148073296663671</v>
      </c>
      <c r="M49" s="90">
        <v>0.12255030052470918</v>
      </c>
      <c r="N49" s="90">
        <v>0.1304850917491564</v>
      </c>
      <c r="O49" s="90">
        <v>0.13908376021882474</v>
      </c>
      <c r="P49" s="90">
        <v>0.14835935955236934</v>
      </c>
    </row>
    <row r="50" spans="2:16">
      <c r="D50" t="s">
        <v>97</v>
      </c>
      <c r="E50" t="s">
        <v>96</v>
      </c>
      <c r="I50" s="90">
        <v>1.4261582749443267</v>
      </c>
      <c r="J50" s="90">
        <v>1.4533183952198032</v>
      </c>
      <c r="K50" s="90">
        <v>1.4783660165080696</v>
      </c>
      <c r="L50" s="90">
        <v>1.4152371031913247</v>
      </c>
      <c r="M50" s="90">
        <v>1.4105802788446957</v>
      </c>
      <c r="N50" s="90">
        <v>1.430926252077573</v>
      </c>
      <c r="O50" s="90">
        <v>1.4427455654520727</v>
      </c>
      <c r="P50" s="90">
        <v>1.4457918576252433</v>
      </c>
    </row>
    <row r="52" spans="2:16" ht="13.25" thickBot="1">
      <c r="B52" s="85" t="s">
        <v>99</v>
      </c>
      <c r="C52" s="85"/>
      <c r="D52" s="85"/>
      <c r="E52" s="85"/>
      <c r="F52" s="85"/>
      <c r="G52" s="85"/>
      <c r="H52" s="85"/>
      <c r="I52" s="85"/>
      <c r="J52" s="85"/>
      <c r="K52" s="85"/>
      <c r="L52" s="85"/>
      <c r="M52" s="85"/>
      <c r="N52" s="85"/>
      <c r="O52" s="85"/>
      <c r="P52" s="85"/>
    </row>
    <row r="54" spans="2:16">
      <c r="C54" s="70" t="s">
        <v>6</v>
      </c>
    </row>
    <row r="55" spans="2:16">
      <c r="D55" t="s">
        <v>84</v>
      </c>
      <c r="E55" t="s">
        <v>85</v>
      </c>
      <c r="I55">
        <v>234.1</v>
      </c>
      <c r="J55">
        <v>258.7</v>
      </c>
      <c r="K55">
        <v>278.89999999999998</v>
      </c>
      <c r="L55">
        <v>298.92470212765954</v>
      </c>
      <c r="M55">
        <v>322.56854638297875</v>
      </c>
      <c r="N55">
        <v>347.36406906170214</v>
      </c>
      <c r="O55">
        <v>373.35917460940431</v>
      </c>
      <c r="P55">
        <v>400.60360855581303</v>
      </c>
    </row>
    <row r="56" spans="2:16">
      <c r="D56" t="s">
        <v>86</v>
      </c>
      <c r="E56" t="s">
        <v>87</v>
      </c>
      <c r="I56" s="87">
        <v>0</v>
      </c>
      <c r="J56" s="87">
        <v>0.10508329773601033</v>
      </c>
      <c r="K56" s="87">
        <v>7.8082721298801561E-2</v>
      </c>
      <c r="L56" s="87">
        <v>7.1798860264107534E-2</v>
      </c>
      <c r="M56" s="87">
        <v>7.9096321204066289E-2</v>
      </c>
      <c r="N56" s="87">
        <v>7.6869003369238076E-2</v>
      </c>
      <c r="O56" s="87">
        <v>7.4835332329909576E-2</v>
      </c>
      <c r="P56" s="87">
        <v>7.297111146367552E-2</v>
      </c>
    </row>
    <row r="58" spans="2:16">
      <c r="C58" s="70" t="s">
        <v>11</v>
      </c>
      <c r="I58" s="133"/>
      <c r="J58" s="133"/>
      <c r="K58" s="133"/>
      <c r="L58" s="133"/>
      <c r="M58" s="133"/>
      <c r="N58" s="133"/>
      <c r="O58" s="133"/>
      <c r="P58" s="133"/>
    </row>
    <row r="59" spans="2:16">
      <c r="D59" t="s">
        <v>11</v>
      </c>
      <c r="E59" t="s">
        <v>85</v>
      </c>
      <c r="I59">
        <v>145</v>
      </c>
      <c r="J59">
        <v>150.80000000000001</v>
      </c>
      <c r="K59">
        <v>158.5</v>
      </c>
      <c r="L59">
        <v>118.40996170212759</v>
      </c>
      <c r="M59">
        <v>128.91318229787234</v>
      </c>
      <c r="N59">
        <v>139.80565500893616</v>
      </c>
      <c r="O59">
        <v>151.09531517410215</v>
      </c>
      <c r="P59">
        <v>162.78996156985619</v>
      </c>
    </row>
    <row r="60" spans="2:16">
      <c r="D60" t="s">
        <v>88</v>
      </c>
      <c r="E60" t="s">
        <v>87</v>
      </c>
      <c r="I60" s="133">
        <v>0.61939342161469457</v>
      </c>
      <c r="J60" s="133">
        <v>0.58291457286432169</v>
      </c>
      <c r="K60" s="133">
        <v>0.56830405163140918</v>
      </c>
      <c r="L60" s="133">
        <v>0.39611969455625362</v>
      </c>
      <c r="M60" s="133">
        <v>0.39964585432584759</v>
      </c>
      <c r="N60" s="133">
        <v>0.40247586742802272</v>
      </c>
      <c r="O60" s="133">
        <v>0.4046915823942801</v>
      </c>
      <c r="P60" s="133">
        <v>0.40636169543434331</v>
      </c>
    </row>
    <row r="61" spans="2:16">
      <c r="D61" t="s">
        <v>89</v>
      </c>
      <c r="E61" t="s">
        <v>87</v>
      </c>
      <c r="I61" s="87">
        <v>0</v>
      </c>
      <c r="J61" s="87">
        <v>4.0000000000000036E-2</v>
      </c>
      <c r="K61" s="87">
        <v>5.1061007957559523E-2</v>
      </c>
      <c r="L61" s="87">
        <v>-0.25293399557017293</v>
      </c>
      <c r="M61" s="87">
        <v>8.8702170364404642E-2</v>
      </c>
      <c r="N61" s="87">
        <v>8.4494638305454339E-2</v>
      </c>
      <c r="O61" s="87">
        <v>8.0752528675927859E-2</v>
      </c>
      <c r="P61" s="87">
        <v>7.7399133006067489E-2</v>
      </c>
    </row>
    <row r="63" spans="2:16">
      <c r="C63" s="70" t="s">
        <v>19</v>
      </c>
    </row>
    <row r="64" spans="2:16">
      <c r="D64" t="s">
        <v>19</v>
      </c>
      <c r="E64" t="s">
        <v>85</v>
      </c>
      <c r="I64">
        <v>48.099999999999994</v>
      </c>
      <c r="J64">
        <v>45.500000000000014</v>
      </c>
      <c r="K64">
        <v>43.100000000000009</v>
      </c>
      <c r="L64">
        <v>9.9682053989361243</v>
      </c>
      <c r="M64">
        <v>12.991147942993607</v>
      </c>
      <c r="N64">
        <v>12.307082540335225</v>
      </c>
      <c r="O64">
        <v>10.429706083993061</v>
      </c>
      <c r="P64">
        <v>9.7835217666731324</v>
      </c>
    </row>
    <row r="65" spans="2:18">
      <c r="D65" t="s">
        <v>90</v>
      </c>
      <c r="E65" t="s">
        <v>87</v>
      </c>
      <c r="I65" s="133">
        <v>0.20546774882528832</v>
      </c>
      <c r="J65" s="133">
        <v>0.17587939698492469</v>
      </c>
      <c r="K65" s="133">
        <v>0.15453567586948733</v>
      </c>
      <c r="L65" s="133">
        <v>3.3346877417574805E-2</v>
      </c>
      <c r="M65" s="133">
        <v>4.0274069151086708E-2</v>
      </c>
      <c r="N65" s="133">
        <v>3.5429923922698878E-2</v>
      </c>
      <c r="O65" s="133">
        <v>2.7934779143713999E-2</v>
      </c>
      <c r="P65" s="133">
        <v>2.442195116999319E-2</v>
      </c>
    </row>
    <row r="66" spans="2:18">
      <c r="D66" t="s">
        <v>91</v>
      </c>
      <c r="E66" t="s">
        <v>87</v>
      </c>
      <c r="I66" s="87">
        <v>0</v>
      </c>
      <c r="J66" s="87">
        <v>-5.4054054054053613E-2</v>
      </c>
      <c r="K66" s="87">
        <v>-5.2747252747252893E-2</v>
      </c>
      <c r="L66" s="87">
        <v>-0.76871913227526401</v>
      </c>
      <c r="M66" s="87">
        <v>0.30325845255757988</v>
      </c>
      <c r="N66" s="87">
        <v>-5.2656270689867113E-2</v>
      </c>
      <c r="O66" s="87">
        <v>-0.15254439467593162</v>
      </c>
      <c r="P66" s="87">
        <v>-6.1956138755593138E-2</v>
      </c>
    </row>
    <row r="68" spans="2:18">
      <c r="C68" s="70" t="s">
        <v>92</v>
      </c>
    </row>
    <row r="69" spans="2:18">
      <c r="D69" t="s">
        <v>93</v>
      </c>
      <c r="E69" t="s">
        <v>87</v>
      </c>
      <c r="I69" s="133">
        <v>2.6125685731356253E-2</v>
      </c>
      <c r="J69" s="133">
        <v>2.4274434485702098E-2</v>
      </c>
      <c r="K69" s="133">
        <v>2.2659166184743181E-2</v>
      </c>
      <c r="L69" s="133">
        <v>5.246493252085511E-3</v>
      </c>
      <c r="M69" s="133">
        <v>4.6177649045998402E-3</v>
      </c>
      <c r="N69" s="133">
        <v>4.2521040114050944E-3</v>
      </c>
      <c r="O69" s="133">
        <v>3.2826061106512347E-3</v>
      </c>
      <c r="P69" s="133">
        <v>2.9458332217365771E-3</v>
      </c>
    </row>
    <row r="70" spans="2:18">
      <c r="D70" t="s">
        <v>94</v>
      </c>
      <c r="E70" t="s">
        <v>87</v>
      </c>
      <c r="I70" s="133">
        <v>0.20546774882528832</v>
      </c>
      <c r="J70" s="133">
        <v>0.17587939698492469</v>
      </c>
      <c r="K70" s="133">
        <v>0.15453567586948733</v>
      </c>
      <c r="L70" s="133">
        <v>3.3346877417574805E-2</v>
      </c>
      <c r="M70" s="133">
        <v>4.0274069151086708E-2</v>
      </c>
      <c r="N70" s="133">
        <v>3.5429923922698878E-2</v>
      </c>
      <c r="O70" s="133">
        <v>2.7934779143713999E-2</v>
      </c>
      <c r="P70" s="133">
        <v>2.442195116999319E-2</v>
      </c>
    </row>
    <row r="71" spans="2:18">
      <c r="D71" t="s">
        <v>95</v>
      </c>
      <c r="E71" t="s">
        <v>96</v>
      </c>
      <c r="I71" s="90">
        <v>8.9157177133716722E-2</v>
      </c>
      <c r="J71" s="90">
        <v>9.4967145112147142E-2</v>
      </c>
      <c r="K71" s="90">
        <v>9.9182076813655776E-2</v>
      </c>
      <c r="L71" s="90">
        <v>0.11083850394761219</v>
      </c>
      <c r="M71" s="90">
        <v>0.11650060379263238</v>
      </c>
      <c r="N71" s="90">
        <v>0.12233375644518489</v>
      </c>
      <c r="O71" s="90">
        <v>0.12876985098959537</v>
      </c>
      <c r="P71" s="90">
        <v>0.13580222565794597</v>
      </c>
    </row>
    <row r="72" spans="2:18">
      <c r="D72" t="s">
        <v>97</v>
      </c>
      <c r="E72" t="s">
        <v>96</v>
      </c>
      <c r="I72" s="90">
        <v>1.4261582749443267</v>
      </c>
      <c r="J72" s="90">
        <v>1.4533183952198032</v>
      </c>
      <c r="K72" s="90">
        <v>1.4783660165080696</v>
      </c>
      <c r="L72" s="90">
        <v>1.4194604301048535</v>
      </c>
      <c r="M72" s="90">
        <v>1.422035754005629</v>
      </c>
      <c r="N72" s="90">
        <v>1.4534293821508324</v>
      </c>
      <c r="O72" s="90">
        <v>1.4802677840436926</v>
      </c>
      <c r="P72" s="90">
        <v>1.5025320708465504</v>
      </c>
    </row>
    <row r="75" spans="2:18">
      <c r="B75" s="70" t="s">
        <v>100</v>
      </c>
    </row>
    <row r="76" spans="2:18" ht="13.25" thickBot="1">
      <c r="B76" s="85" t="str" cm="1">
        <f t="array" ref="B76">"Analysis Based on: "&amp;INDEX(S_List,S_Scenario)&amp;" Scenario"</f>
        <v>Analysis Based on: Base Case Scenario</v>
      </c>
      <c r="C76" s="85"/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</row>
    <row r="78" spans="2:18">
      <c r="C78" s="70" t="s">
        <v>6</v>
      </c>
    </row>
    <row r="79" spans="2:18">
      <c r="D79" t="s">
        <v>84</v>
      </c>
      <c r="E79" t="s">
        <v>85</v>
      </c>
      <c r="I79">
        <f>Model!I11</f>
        <v>234.1</v>
      </c>
      <c r="J79">
        <f>Model!J11</f>
        <v>258.7</v>
      </c>
      <c r="K79">
        <f>Model!K11</f>
        <v>278.89999999999998</v>
      </c>
      <c r="L79">
        <f>Model!L11</f>
        <v>307.77984615384611</v>
      </c>
      <c r="M79">
        <f>Model!M11</f>
        <v>338.14147307692298</v>
      </c>
      <c r="N79">
        <f>Model!N11</f>
        <v>370.04779575384606</v>
      </c>
      <c r="O79">
        <f>Model!O11</f>
        <v>403.56417046561529</v>
      </c>
      <c r="P79">
        <f>Model!P11</f>
        <v>423.3668919343599</v>
      </c>
      <c r="R79" t="str">
        <f ca="1">IF($R$5=1,_xlfn.FORMULATEXT(P79),"")</f>
        <v/>
      </c>
    </row>
    <row r="80" spans="2:18">
      <c r="D80" t="s">
        <v>86</v>
      </c>
      <c r="E80" t="s">
        <v>87</v>
      </c>
      <c r="I80" s="87">
        <f>IFERROR(I79/H79-1,0)</f>
        <v>0</v>
      </c>
      <c r="J80" s="87">
        <f>IFERROR(J79/I79-1,0)</f>
        <v>0.10508329773601033</v>
      </c>
      <c r="K80" s="87">
        <f t="shared" ref="K80:P80" si="1">IFERROR(K79/J79-1,0)</f>
        <v>7.8082721298801561E-2</v>
      </c>
      <c r="L80" s="87">
        <f t="shared" si="1"/>
        <v>0.10354910775850179</v>
      </c>
      <c r="M80" s="87">
        <f t="shared" si="1"/>
        <v>9.864722236523682E-2</v>
      </c>
      <c r="N80" s="87">
        <f t="shared" si="1"/>
        <v>9.435790997948601E-2</v>
      </c>
      <c r="O80" s="87">
        <f t="shared" si="1"/>
        <v>9.0573096492822192E-2</v>
      </c>
      <c r="P80" s="87">
        <f t="shared" si="1"/>
        <v>4.9069572865938715E-2</v>
      </c>
      <c r="R80" t="str">
        <f ca="1">IF($R$5=1,_xlfn.FORMULATEXT(P80),"")</f>
        <v/>
      </c>
    </row>
    <row r="82" spans="3:18">
      <c r="C82" s="70" t="s">
        <v>11</v>
      </c>
      <c r="I82" s="133"/>
      <c r="J82" s="133"/>
      <c r="K82" s="133"/>
      <c r="L82" s="133"/>
      <c r="M82" s="133"/>
      <c r="N82" s="133"/>
      <c r="O82" s="133"/>
      <c r="P82" s="133"/>
      <c r="R82" s="133"/>
    </row>
    <row r="83" spans="3:18">
      <c r="D83" t="s">
        <v>11</v>
      </c>
      <c r="E83" t="s">
        <v>85</v>
      </c>
      <c r="I83">
        <f>Model!I18</f>
        <v>145</v>
      </c>
      <c r="J83">
        <f>Model!J18</f>
        <v>150.80000000000001</v>
      </c>
      <c r="K83">
        <f>Model!K18</f>
        <v>158.5</v>
      </c>
      <c r="L83">
        <f>Model!L18</f>
        <v>171.90113846153841</v>
      </c>
      <c r="M83">
        <f>Model!M18</f>
        <v>193.1479452307691</v>
      </c>
      <c r="N83">
        <f>Model!N18</f>
        <v>215.51484938153837</v>
      </c>
      <c r="O83">
        <f>Model!O18</f>
        <v>239.04993463064605</v>
      </c>
      <c r="P83">
        <f>Model!P18</f>
        <v>252.08200898979587</v>
      </c>
      <c r="R83" t="str">
        <f ca="1">IF($R$5=1,_xlfn.FORMULATEXT(P83),"")</f>
        <v/>
      </c>
    </row>
    <row r="84" spans="3:18">
      <c r="D84" t="s">
        <v>88</v>
      </c>
      <c r="E84" t="s">
        <v>87</v>
      </c>
      <c r="I84" s="133">
        <f>I83/I$79</f>
        <v>0.61939342161469457</v>
      </c>
      <c r="J84" s="133">
        <f t="shared" ref="J84:P84" si="2">J83/J$79</f>
        <v>0.58291457286432169</v>
      </c>
      <c r="K84" s="133">
        <f t="shared" si="2"/>
        <v>0.56830405163140918</v>
      </c>
      <c r="L84" s="133">
        <f t="shared" si="2"/>
        <v>0.55851980111658228</v>
      </c>
      <c r="M84" s="133">
        <f t="shared" si="2"/>
        <v>0.57120454191323156</v>
      </c>
      <c r="N84" s="133">
        <f t="shared" si="2"/>
        <v>0.58239733314044051</v>
      </c>
      <c r="O84" s="133">
        <f t="shared" si="2"/>
        <v>0.59234677437999594</v>
      </c>
      <c r="P84" s="133">
        <f t="shared" si="2"/>
        <v>0.59542211210242546</v>
      </c>
      <c r="R84" t="str">
        <f ca="1">IF($R$5=1,_xlfn.FORMULATEXT(P84),"")</f>
        <v/>
      </c>
    </row>
    <row r="85" spans="3:18">
      <c r="D85" t="s">
        <v>89</v>
      </c>
      <c r="E85" t="s">
        <v>87</v>
      </c>
      <c r="I85" s="87">
        <f>IFERROR(I83/H83-1,0)</f>
        <v>0</v>
      </c>
      <c r="J85" s="87">
        <f t="shared" ref="J85:P85" si="3">IFERROR(J83/I83-1,0)</f>
        <v>4.0000000000000036E-2</v>
      </c>
      <c r="K85" s="87">
        <f t="shared" si="3"/>
        <v>5.1061007957559523E-2</v>
      </c>
      <c r="L85" s="87">
        <f t="shared" si="3"/>
        <v>8.4549769473428515E-2</v>
      </c>
      <c r="M85" s="87">
        <f t="shared" si="3"/>
        <v>0.12359898811248704</v>
      </c>
      <c r="N85" s="87">
        <f t="shared" si="3"/>
        <v>0.11580192646650089</v>
      </c>
      <c r="O85" s="87">
        <f t="shared" si="3"/>
        <v>0.10920400759690652</v>
      </c>
      <c r="P85" s="87">
        <f t="shared" si="3"/>
        <v>5.4516117644146433E-2</v>
      </c>
      <c r="R85" t="str">
        <f ca="1">IF($R$5=1,_xlfn.FORMULATEXT(P85),"")</f>
        <v/>
      </c>
    </row>
    <row r="87" spans="3:18">
      <c r="C87" s="70" t="s">
        <v>19</v>
      </c>
    </row>
    <row r="88" spans="3:18">
      <c r="D88" t="s">
        <v>19</v>
      </c>
      <c r="E88" t="s">
        <v>85</v>
      </c>
      <c r="I88">
        <f>Model!I31</f>
        <v>48.099999999999994</v>
      </c>
      <c r="J88">
        <f>Model!J31</f>
        <v>45.500000000000014</v>
      </c>
      <c r="K88">
        <f>Model!K31</f>
        <v>43.100000000000009</v>
      </c>
      <c r="L88">
        <f>Model!L31</f>
        <v>46.074749711538431</v>
      </c>
      <c r="M88">
        <f>Model!M31</f>
        <v>56.659287717102629</v>
      </c>
      <c r="N88">
        <f>Model!N31</f>
        <v>73.021244500407818</v>
      </c>
      <c r="O88">
        <f>Model!O31</f>
        <v>89.417688417801571</v>
      </c>
      <c r="P88">
        <f>Model!P31</f>
        <v>97.597577222180604</v>
      </c>
      <c r="R88" t="str">
        <f ca="1">IF($R$5=1,_xlfn.FORMULATEXT(P88),"")</f>
        <v/>
      </c>
    </row>
    <row r="89" spans="3:18">
      <c r="D89" t="s">
        <v>90</v>
      </c>
      <c r="E89" t="s">
        <v>87</v>
      </c>
      <c r="I89" s="133">
        <f>I88/I$79</f>
        <v>0.20546774882528832</v>
      </c>
      <c r="J89" s="133">
        <f t="shared" ref="J89" si="4">J88/J$79</f>
        <v>0.17587939698492469</v>
      </c>
      <c r="K89" s="133">
        <f t="shared" ref="K89" si="5">K88/K$79</f>
        <v>0.15453567586948733</v>
      </c>
      <c r="L89" s="133">
        <f t="shared" ref="L89" si="6">L88/L$79</f>
        <v>0.14970034681383138</v>
      </c>
      <c r="M89" s="133">
        <f t="shared" ref="M89" si="7">M88/M$79</f>
        <v>0.16756089456147055</v>
      </c>
      <c r="N89" s="133">
        <f t="shared" ref="N89" si="8">N88/N$79</f>
        <v>0.19732922432804109</v>
      </c>
      <c r="O89" s="133">
        <f t="shared" ref="O89" si="9">O88/O$79</f>
        <v>0.22156993846761772</v>
      </c>
      <c r="P89" s="133">
        <f t="shared" ref="P89" si="10">P88/P$79</f>
        <v>0.23052718358834831</v>
      </c>
      <c r="R89" t="str">
        <f ca="1">IF($R$5=1,_xlfn.FORMULATEXT(P89),"")</f>
        <v/>
      </c>
    </row>
    <row r="90" spans="3:18">
      <c r="D90" t="s">
        <v>91</v>
      </c>
      <c r="E90" t="s">
        <v>87</v>
      </c>
      <c r="I90" s="87">
        <f>IFERROR(I88/H88-1,0)</f>
        <v>0</v>
      </c>
      <c r="J90" s="87">
        <f t="shared" ref="J90:P90" si="11">IFERROR(J88/I88-1,0)</f>
        <v>-5.4054054054053613E-2</v>
      </c>
      <c r="K90" s="87">
        <f t="shared" si="11"/>
        <v>-5.2747252747252893E-2</v>
      </c>
      <c r="L90" s="87">
        <f t="shared" si="11"/>
        <v>6.9019714884882122E-2</v>
      </c>
      <c r="M90" s="87">
        <f t="shared" si="11"/>
        <v>0.22972535004164185</v>
      </c>
      <c r="N90" s="87">
        <f t="shared" si="11"/>
        <v>0.2887780175599759</v>
      </c>
      <c r="O90" s="87">
        <f t="shared" si="11"/>
        <v>0.22454347402011443</v>
      </c>
      <c r="P90" s="87">
        <f t="shared" si="11"/>
        <v>9.1479537763923702E-2</v>
      </c>
      <c r="R90" t="str">
        <f ca="1">IF($R$5=1,_xlfn.FORMULATEXT(P90),"")</f>
        <v/>
      </c>
    </row>
    <row r="92" spans="3:18">
      <c r="C92" s="70" t="s">
        <v>92</v>
      </c>
    </row>
    <row r="93" spans="3:18">
      <c r="D93" t="s">
        <v>93</v>
      </c>
      <c r="E93" t="s">
        <v>87</v>
      </c>
      <c r="I93" s="133">
        <f>Model!I38</f>
        <v>2.6125685731356253E-2</v>
      </c>
      <c r="J93" s="133">
        <f>Model!J38</f>
        <v>2.4274434485702098E-2</v>
      </c>
      <c r="K93" s="133">
        <f>Model!K38</f>
        <v>2.2659166184743181E-2</v>
      </c>
      <c r="L93" s="133">
        <f>Model!L38</f>
        <v>2.389150757282155E-2</v>
      </c>
      <c r="M93" s="133">
        <f>Model!M38</f>
        <v>1.054726254367074E-2</v>
      </c>
      <c r="N93" s="133">
        <f>Model!N38</f>
        <v>3.2863001609537107E-3</v>
      </c>
      <c r="O93" s="133">
        <f>Model!O38</f>
        <v>9.1920335465576503E-3</v>
      </c>
      <c r="P93" s="133">
        <f>Model!P38</f>
        <v>1.2034685472874264E-2</v>
      </c>
      <c r="R93" t="str">
        <f ca="1">IF($R$5=1,_xlfn.FORMULATEXT(P93),"")</f>
        <v/>
      </c>
    </row>
    <row r="94" spans="3:18">
      <c r="D94" t="s">
        <v>94</v>
      </c>
      <c r="E94" t="s">
        <v>87</v>
      </c>
      <c r="I94" s="133">
        <f>Model!I39</f>
        <v>0.20546774882528832</v>
      </c>
      <c r="J94" s="133">
        <f>Model!J39</f>
        <v>0.17587939698492469</v>
      </c>
      <c r="K94" s="133">
        <f>Model!K39</f>
        <v>0.15453567586948733</v>
      </c>
      <c r="L94" s="133">
        <f>Model!L39</f>
        <v>0.14970034681383138</v>
      </c>
      <c r="M94" s="133">
        <f>Model!M39</f>
        <v>0.16756089456147055</v>
      </c>
      <c r="N94" s="133">
        <f>Model!N39</f>
        <v>0.19732922432804109</v>
      </c>
      <c r="O94" s="133">
        <f>Model!O39</f>
        <v>0.22156993846761772</v>
      </c>
      <c r="P94" s="133">
        <f>Model!P39</f>
        <v>0.23052718358834831</v>
      </c>
      <c r="R94" t="str">
        <f ca="1">IF($R$5=1,_xlfn.FORMULATEXT(P94),"")</f>
        <v/>
      </c>
    </row>
    <row r="95" spans="3:18">
      <c r="D95" t="s">
        <v>95</v>
      </c>
      <c r="E95" t="s">
        <v>96</v>
      </c>
      <c r="I95" s="90">
        <f>Model!I40</f>
        <v>8.9157177133716722E-2</v>
      </c>
      <c r="J95" s="90">
        <f>Model!J40</f>
        <v>9.4967145112147142E-2</v>
      </c>
      <c r="K95" s="90">
        <f>Model!K40</f>
        <v>9.9182076813655776E-2</v>
      </c>
      <c r="L95" s="90">
        <f>Model!L40</f>
        <v>0.11417626563966249</v>
      </c>
      <c r="M95" s="90">
        <f>Model!M40</f>
        <v>0.11719452047501751</v>
      </c>
      <c r="N95" s="90">
        <f>Model!N40</f>
        <v>0.11892624425152019</v>
      </c>
      <c r="O95" s="90">
        <f>Model!O40</f>
        <v>0.13676313561678077</v>
      </c>
      <c r="P95" s="90">
        <f>Model!P40</f>
        <v>0.14357879227019593</v>
      </c>
      <c r="R95" t="str">
        <f ca="1">IF($R$5=1,_xlfn.FORMULATEXT(P95),"")</f>
        <v/>
      </c>
    </row>
    <row r="96" spans="3:18">
      <c r="D96" t="s">
        <v>97</v>
      </c>
      <c r="E96" t="s">
        <v>96</v>
      </c>
      <c r="I96" s="90">
        <f>Model!I41</f>
        <v>1.4261582749443267</v>
      </c>
      <c r="J96" s="90">
        <f>Model!J41</f>
        <v>1.4533183952198032</v>
      </c>
      <c r="K96" s="90">
        <f>Model!K41</f>
        <v>1.4783660165080696</v>
      </c>
      <c r="L96" s="90">
        <f>Model!L41</f>
        <v>1.3977996069225316</v>
      </c>
      <c r="M96" s="90">
        <f>Model!M41</f>
        <v>1.2341000295568985</v>
      </c>
      <c r="N96" s="90">
        <f>Model!N41</f>
        <v>1.1334983500181792</v>
      </c>
      <c r="O96" s="90">
        <f>Model!O41</f>
        <v>1.0671343533519035</v>
      </c>
      <c r="P96" s="90">
        <f>Model!P41</f>
        <v>1.0562175517705032</v>
      </c>
      <c r="R96" t="str">
        <f ca="1">IF($R$5=1,_xlfn.FORMULATEXT(P96),"")</f>
        <v/>
      </c>
    </row>
  </sheetData>
  <conditionalFormatting sqref="I3:J3">
    <cfRule type="expression" dxfId="4" priority="1">
      <formula>BalCheck&lt;&gt;0</formula>
    </cfRule>
  </conditionalFormatting>
  <dataValidations count="1">
    <dataValidation type="list" allowBlank="1" showInputMessage="1" showErrorMessage="1" sqref="R5" xr:uid="{3953A128-715B-402B-9F43-EB39691A83E6}">
      <formula1>"1,2"</formula1>
    </dataValidation>
  </dataValidations>
  <pageMargins left="0.7" right="0.7" top="0.75" bottom="0.75" header="0.3" footer="0.3"/>
  <pageSetup scale="84" fitToHeight="0" orientation="landscape" r:id="rId1"/>
  <headerFooter>
    <oddFooter>&amp;LXcel Stores &amp; Properties
Printed on &amp;D @ &amp;T&amp;CPage &amp;P of &amp;N&amp;RSheet Name: &amp;A
File Name: &amp;F</oddFooter>
  </headerFooter>
  <rowBreaks count="1" manualBreakCount="1">
    <brk id="50" max="16383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193" r:id="rId4" name="Drop Down 1">
              <controlPr defaultSize="0" autoLine="0" autoPict="0">
                <anchor moveWithCells="1">
                  <from>
                    <xdr:col>3</xdr:col>
                    <xdr:colOff>629107</xdr:colOff>
                    <xdr:row>74</xdr:row>
                    <xdr:rowOff>0</xdr:rowOff>
                  </from>
                  <to>
                    <xdr:col>3</xdr:col>
                    <xdr:colOff>1492301</xdr:colOff>
                    <xdr:row>75</xdr:row>
                    <xdr:rowOff>7315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high="1" low="1" first="1" last="1" negative="1" xr2:uid="{D3D0AA55-33C6-4097-8D6E-5A747CFF474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Summary!I79:P79</xm:f>
              <xm:sqref>F79</xm:sqref>
            </x14:sparkline>
            <x14:sparkline>
              <xm:f>Summary!I80:P80</xm:f>
              <xm:sqref>F80</xm:sqref>
            </x14:sparkline>
            <x14:sparkline>
              <xm:f>Summary!I81:P81</xm:f>
              <xm:sqref>F81</xm:sqref>
            </x14:sparkline>
            <x14:sparkline>
              <xm:f>Summary!I82:P82</xm:f>
              <xm:sqref>F82</xm:sqref>
            </x14:sparkline>
            <x14:sparkline>
              <xm:f>Summary!I83:P83</xm:f>
              <xm:sqref>F83</xm:sqref>
            </x14:sparkline>
            <x14:sparkline>
              <xm:f>Summary!I84:P84</xm:f>
              <xm:sqref>F84</xm:sqref>
            </x14:sparkline>
            <x14:sparkline>
              <xm:f>Summary!I85:P85</xm:f>
              <xm:sqref>F85</xm:sqref>
            </x14:sparkline>
            <x14:sparkline>
              <xm:f>Summary!I86:P86</xm:f>
              <xm:sqref>F86</xm:sqref>
            </x14:sparkline>
            <x14:sparkline>
              <xm:f>Summary!I87:P87</xm:f>
              <xm:sqref>F87</xm:sqref>
            </x14:sparkline>
            <x14:sparkline>
              <xm:f>Summary!I88:P88</xm:f>
              <xm:sqref>F88</xm:sqref>
            </x14:sparkline>
            <x14:sparkline>
              <xm:f>Summary!I89:P89</xm:f>
              <xm:sqref>F89</xm:sqref>
            </x14:sparkline>
            <x14:sparkline>
              <xm:f>Summary!I90:P90</xm:f>
              <xm:sqref>F90</xm:sqref>
            </x14:sparkline>
            <x14:sparkline>
              <xm:f>Summary!I91:P91</xm:f>
              <xm:sqref>F91</xm:sqref>
            </x14:sparkline>
            <x14:sparkline>
              <xm:f>Summary!I92:P92</xm:f>
              <xm:sqref>F92</xm:sqref>
            </x14:sparkline>
            <x14:sparkline>
              <xm:f>Summary!I93:P93</xm:f>
              <xm:sqref>F93</xm:sqref>
            </x14:sparkline>
            <x14:sparkline>
              <xm:f>Summary!I94:P94</xm:f>
              <xm:sqref>F94</xm:sqref>
            </x14:sparkline>
            <x14:sparkline>
              <xm:f>Summary!I95:P95</xm:f>
              <xm:sqref>F95</xm:sqref>
            </x14:sparkline>
            <x14:sparkline>
              <xm:f>Summary!I96:P96</xm:f>
              <xm:sqref>F96</xm:sqref>
            </x14:sparkline>
          </x14:sparklines>
        </x14:sparklineGroup>
        <x14:sparklineGroup displayEmptyCellsAs="gap" high="1" low="1" first="1" last="1" negative="1" xr2:uid="{3DC1D7AF-1451-4129-AC30-788F5FB2777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Summary!I10:P10</xm:f>
              <xm:sqref>F10</xm:sqref>
            </x14:sparkline>
            <x14:sparkline>
              <xm:f>Summary!I11:P11</xm:f>
              <xm:sqref>F11</xm:sqref>
            </x14:sparkline>
            <x14:sparkline>
              <xm:f>Summary!I12:P12</xm:f>
              <xm:sqref>F12</xm:sqref>
            </x14:sparkline>
            <x14:sparkline>
              <xm:f>Summary!I13:P13</xm:f>
              <xm:sqref>F13</xm:sqref>
            </x14:sparkline>
            <x14:sparkline>
              <xm:f>Summary!I14:P14</xm:f>
              <xm:sqref>F14</xm:sqref>
            </x14:sparkline>
            <x14:sparkline>
              <xm:f>Summary!I15:P15</xm:f>
              <xm:sqref>F15</xm:sqref>
            </x14:sparkline>
            <x14:sparkline>
              <xm:f>Summary!I16:P16</xm:f>
              <xm:sqref>F16</xm:sqref>
            </x14:sparkline>
            <x14:sparkline>
              <xm:f>Summary!I17:P17</xm:f>
              <xm:sqref>F17</xm:sqref>
            </x14:sparkline>
            <x14:sparkline>
              <xm:f>Summary!I18:P18</xm:f>
              <xm:sqref>F18</xm:sqref>
            </x14:sparkline>
            <x14:sparkline>
              <xm:f>Summary!I19:P19</xm:f>
              <xm:sqref>F19</xm:sqref>
            </x14:sparkline>
            <x14:sparkline>
              <xm:f>Summary!I20:P20</xm:f>
              <xm:sqref>F20</xm:sqref>
            </x14:sparkline>
            <x14:sparkline>
              <xm:f>Summary!I21:P21</xm:f>
              <xm:sqref>F21</xm:sqref>
            </x14:sparkline>
            <x14:sparkline>
              <xm:f>Summary!I22:P22</xm:f>
              <xm:sqref>F22</xm:sqref>
            </x14:sparkline>
            <x14:sparkline>
              <xm:f>Summary!I23:P23</xm:f>
              <xm:sqref>F23</xm:sqref>
            </x14:sparkline>
            <x14:sparkline>
              <xm:f>Summary!I24:P24</xm:f>
              <xm:sqref>F24</xm:sqref>
            </x14:sparkline>
            <x14:sparkline>
              <xm:f>Summary!I25:P25</xm:f>
              <xm:sqref>F25</xm:sqref>
            </x14:sparkline>
            <x14:sparkline>
              <xm:f>Summary!I26:P26</xm:f>
              <xm:sqref>F26</xm:sqref>
            </x14:sparkline>
            <x14:sparkline>
              <xm:f>Summary!I27:P27</xm:f>
              <xm:sqref>F27</xm:sqref>
            </x14:sparkline>
          </x14:sparklines>
        </x14:sparklineGroup>
        <x14:sparklineGroup displayEmptyCellsAs="gap" high="1" low="1" first="1" last="1" negative="1" xr2:uid="{A97A6FA4-3B5C-41E3-A10C-D8F038C126F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Summary!I33:P33</xm:f>
              <xm:sqref>F33</xm:sqref>
            </x14:sparkline>
            <x14:sparkline>
              <xm:f>Summary!I34:P34</xm:f>
              <xm:sqref>F34</xm:sqref>
            </x14:sparkline>
            <x14:sparkline>
              <xm:f>Summary!I35:P35</xm:f>
              <xm:sqref>F35</xm:sqref>
            </x14:sparkline>
            <x14:sparkline>
              <xm:f>Summary!I36:P36</xm:f>
              <xm:sqref>F36</xm:sqref>
            </x14:sparkline>
            <x14:sparkline>
              <xm:f>Summary!I37:P37</xm:f>
              <xm:sqref>F37</xm:sqref>
            </x14:sparkline>
            <x14:sparkline>
              <xm:f>Summary!I38:P38</xm:f>
              <xm:sqref>F38</xm:sqref>
            </x14:sparkline>
            <x14:sparkline>
              <xm:f>Summary!I39:P39</xm:f>
              <xm:sqref>F39</xm:sqref>
            </x14:sparkline>
            <x14:sparkline>
              <xm:f>Summary!I40:P40</xm:f>
              <xm:sqref>F40</xm:sqref>
            </x14:sparkline>
            <x14:sparkline>
              <xm:f>Summary!I41:P41</xm:f>
              <xm:sqref>F41</xm:sqref>
            </x14:sparkline>
            <x14:sparkline>
              <xm:f>Summary!I42:P42</xm:f>
              <xm:sqref>F42</xm:sqref>
            </x14:sparkline>
            <x14:sparkline>
              <xm:f>Summary!I43:P43</xm:f>
              <xm:sqref>F43</xm:sqref>
            </x14:sparkline>
            <x14:sparkline>
              <xm:f>Summary!I44:P44</xm:f>
              <xm:sqref>F44</xm:sqref>
            </x14:sparkline>
            <x14:sparkline>
              <xm:f>Summary!I45:P45</xm:f>
              <xm:sqref>F45</xm:sqref>
            </x14:sparkline>
            <x14:sparkline>
              <xm:f>Summary!I46:P46</xm:f>
              <xm:sqref>F46</xm:sqref>
            </x14:sparkline>
            <x14:sparkline>
              <xm:f>Summary!I47:P47</xm:f>
              <xm:sqref>F47</xm:sqref>
            </x14:sparkline>
            <x14:sparkline>
              <xm:f>Summary!I48:P48</xm:f>
              <xm:sqref>F48</xm:sqref>
            </x14:sparkline>
            <x14:sparkline>
              <xm:f>Summary!I49:P49</xm:f>
              <xm:sqref>F49</xm:sqref>
            </x14:sparkline>
            <x14:sparkline>
              <xm:f>Summary!I50:P50</xm:f>
              <xm:sqref>F50</xm:sqref>
            </x14:sparkline>
          </x14:sparklines>
        </x14:sparklineGroup>
        <x14:sparklineGroup displayEmptyCellsAs="gap" high="1" low="1" first="1" last="1" negative="1" xr2:uid="{444DA090-A380-495C-A925-57317383910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Summary!I55:P55</xm:f>
              <xm:sqref>F55</xm:sqref>
            </x14:sparkline>
            <x14:sparkline>
              <xm:f>Summary!I56:P56</xm:f>
              <xm:sqref>F56</xm:sqref>
            </x14:sparkline>
            <x14:sparkline>
              <xm:f>Summary!I57:P57</xm:f>
              <xm:sqref>F57</xm:sqref>
            </x14:sparkline>
            <x14:sparkline>
              <xm:f>Summary!I58:P58</xm:f>
              <xm:sqref>F58</xm:sqref>
            </x14:sparkline>
            <x14:sparkline>
              <xm:f>Summary!I59:P59</xm:f>
              <xm:sqref>F59</xm:sqref>
            </x14:sparkline>
            <x14:sparkline>
              <xm:f>Summary!I60:P60</xm:f>
              <xm:sqref>F60</xm:sqref>
            </x14:sparkline>
            <x14:sparkline>
              <xm:f>Summary!I61:P61</xm:f>
              <xm:sqref>F61</xm:sqref>
            </x14:sparkline>
            <x14:sparkline>
              <xm:f>Summary!I62:P62</xm:f>
              <xm:sqref>F62</xm:sqref>
            </x14:sparkline>
            <x14:sparkline>
              <xm:f>Summary!I63:P63</xm:f>
              <xm:sqref>F63</xm:sqref>
            </x14:sparkline>
            <x14:sparkline>
              <xm:f>Summary!I64:P64</xm:f>
              <xm:sqref>F64</xm:sqref>
            </x14:sparkline>
            <x14:sparkline>
              <xm:f>Summary!I65:P65</xm:f>
              <xm:sqref>F65</xm:sqref>
            </x14:sparkline>
            <x14:sparkline>
              <xm:f>Summary!I66:P66</xm:f>
              <xm:sqref>F66</xm:sqref>
            </x14:sparkline>
            <x14:sparkline>
              <xm:f>Summary!I67:P67</xm:f>
              <xm:sqref>F67</xm:sqref>
            </x14:sparkline>
            <x14:sparkline>
              <xm:f>Summary!I68:P68</xm:f>
              <xm:sqref>F68</xm:sqref>
            </x14:sparkline>
            <x14:sparkline>
              <xm:f>Summary!I69:P69</xm:f>
              <xm:sqref>F69</xm:sqref>
            </x14:sparkline>
            <x14:sparkline>
              <xm:f>Summary!I70:P70</xm:f>
              <xm:sqref>F70</xm:sqref>
            </x14:sparkline>
            <x14:sparkline>
              <xm:f>Summary!I71:P71</xm:f>
              <xm:sqref>F71</xm:sqref>
            </x14:sparkline>
            <x14:sparkline>
              <xm:f>Summary!I72:P72</xm:f>
              <xm:sqref>F72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C35E9-95E4-4285-BD36-CB8866AC3A8F}">
  <sheetPr>
    <pageSetUpPr fitToPage="1"/>
  </sheetPr>
  <dimension ref="A1:P124"/>
  <sheetViews>
    <sheetView showGridLines="0" zoomScaleNormal="100" workbookViewId="0">
      <pane ySplit="5" topLeftCell="A6" activePane="bottomLeft" state="frozen"/>
      <selection activeCell="F13" sqref="F13"/>
      <selection pane="bottomLeft" activeCell="A6" sqref="A6"/>
    </sheetView>
  </sheetViews>
  <sheetFormatPr defaultRowHeight="12.7"/>
  <cols>
    <col min="1" max="1" width="5.21875" customWidth="1"/>
    <col min="2" max="2" width="4.21875" customWidth="1"/>
    <col min="3" max="3" width="5.21875" customWidth="1"/>
    <col min="4" max="4" width="37.77734375" customWidth="1"/>
    <col min="5" max="6" width="12.77734375" customWidth="1"/>
    <col min="7" max="8" width="4.21875" customWidth="1"/>
    <col min="11" max="11" width="13.77734375" customWidth="1"/>
  </cols>
  <sheetData>
    <row r="1" spans="1:16">
      <c r="A1" s="79"/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</row>
    <row r="2" spans="1:16">
      <c r="A2" s="79"/>
      <c r="B2" s="79" t="str">
        <f>Cover!B4</f>
        <v>Xcel Stores &amp; Properties</v>
      </c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</row>
    <row r="3" spans="1:16">
      <c r="A3" s="79"/>
      <c r="B3" s="79"/>
      <c r="C3" s="79" t="s">
        <v>101</v>
      </c>
      <c r="D3" s="79"/>
      <c r="E3" s="79"/>
      <c r="F3" s="79"/>
      <c r="G3" s="79"/>
      <c r="H3" s="79"/>
      <c r="I3" s="80" t="str">
        <f>IF(BalCheck=0,"Bal check: OK","ERROR")</f>
        <v>Bal check: OK</v>
      </c>
      <c r="J3" s="81"/>
      <c r="K3" s="80" t="str" cm="1">
        <f t="array" ref="K3">"Scenario: "&amp;INDEX(S_List,S_Scenario)</f>
        <v>Scenario: Base Case</v>
      </c>
      <c r="L3" s="81"/>
      <c r="M3" s="79"/>
      <c r="N3" s="79"/>
      <c r="O3" s="79"/>
      <c r="P3" s="79"/>
    </row>
    <row r="4" spans="1:16">
      <c r="I4" t="s">
        <v>79</v>
      </c>
      <c r="J4" t="s">
        <v>79</v>
      </c>
      <c r="K4" t="s">
        <v>79</v>
      </c>
      <c r="L4" t="s">
        <v>80</v>
      </c>
      <c r="M4" t="s">
        <v>80</v>
      </c>
      <c r="N4" t="s">
        <v>80</v>
      </c>
      <c r="O4" t="s">
        <v>80</v>
      </c>
      <c r="P4" t="s">
        <v>80</v>
      </c>
    </row>
    <row r="5" spans="1:16">
      <c r="E5" t="s">
        <v>81</v>
      </c>
      <c r="F5" t="s">
        <v>82</v>
      </c>
      <c r="I5" s="83">
        <f>Historical!G7</f>
        <v>2020</v>
      </c>
      <c r="J5" s="83">
        <f>I5+1</f>
        <v>2021</v>
      </c>
      <c r="K5" s="83">
        <f t="shared" ref="K5:P5" si="0">J5+1</f>
        <v>2022</v>
      </c>
      <c r="L5" s="84">
        <f t="shared" si="0"/>
        <v>2023</v>
      </c>
      <c r="M5" s="84">
        <f t="shared" si="0"/>
        <v>2024</v>
      </c>
      <c r="N5" s="84">
        <f t="shared" si="0"/>
        <v>2025</v>
      </c>
      <c r="O5" s="84">
        <f t="shared" si="0"/>
        <v>2026</v>
      </c>
      <c r="P5" s="84">
        <f t="shared" si="0"/>
        <v>2027</v>
      </c>
    </row>
    <row r="7" spans="1:16" ht="13.25" thickBot="1">
      <c r="B7" s="85" t="s">
        <v>102</v>
      </c>
      <c r="C7" s="85"/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</row>
    <row r="8" spans="1:16">
      <c r="D8" t="s">
        <v>103</v>
      </c>
      <c r="E8" t="s">
        <v>104</v>
      </c>
      <c r="I8" s="82">
        <f>DATE(I5,12,31)-DATE(I5,1,1)+1</f>
        <v>366</v>
      </c>
      <c r="J8" s="82">
        <f t="shared" ref="J8:P8" si="1">DATE(J5,12,31)-DATE(J5,1,1)+1</f>
        <v>365</v>
      </c>
      <c r="K8" s="82">
        <f t="shared" si="1"/>
        <v>365</v>
      </c>
      <c r="L8" s="82">
        <f t="shared" si="1"/>
        <v>365</v>
      </c>
      <c r="M8" s="82">
        <f t="shared" si="1"/>
        <v>366</v>
      </c>
      <c r="N8" s="82">
        <f t="shared" si="1"/>
        <v>365</v>
      </c>
      <c r="O8" s="82">
        <f t="shared" si="1"/>
        <v>365</v>
      </c>
      <c r="P8" s="82">
        <f t="shared" si="1"/>
        <v>365</v>
      </c>
    </row>
    <row r="9" spans="1:16">
      <c r="D9" t="s">
        <v>105</v>
      </c>
      <c r="E9" t="s">
        <v>106</v>
      </c>
      <c r="F9" s="86">
        <v>1000000</v>
      </c>
    </row>
    <row r="10" spans="1:16" ht="8.1" customHeight="1"/>
    <row r="11" spans="1:16" ht="13.25" thickBot="1">
      <c r="B11" s="85" t="s">
        <v>107</v>
      </c>
      <c r="C11" s="85"/>
      <c r="D11" s="85"/>
      <c r="E11" s="85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</row>
    <row r="12" spans="1:16">
      <c r="D12" t="s">
        <v>108</v>
      </c>
      <c r="E12" t="s">
        <v>109</v>
      </c>
      <c r="F12">
        <v>123456</v>
      </c>
    </row>
    <row r="13" spans="1:16">
      <c r="D13" t="s">
        <v>110</v>
      </c>
      <c r="E13" t="s">
        <v>109</v>
      </c>
      <c r="F13" s="86">
        <v>123456</v>
      </c>
    </row>
    <row r="14" spans="1:16">
      <c r="D14" t="s">
        <v>111</v>
      </c>
      <c r="E14" t="s">
        <v>112</v>
      </c>
      <c r="F14" s="87">
        <v>0.12</v>
      </c>
    </row>
    <row r="15" spans="1:16">
      <c r="D15" t="s">
        <v>113</v>
      </c>
      <c r="E15" t="s">
        <v>109</v>
      </c>
      <c r="F15" s="88">
        <v>123</v>
      </c>
    </row>
    <row r="16" spans="1:16" ht="13.25" thickBot="1">
      <c r="D16" t="s">
        <v>114</v>
      </c>
      <c r="E16" t="s">
        <v>115</v>
      </c>
      <c r="F16" s="119" t="s">
        <v>114</v>
      </c>
    </row>
    <row r="17" spans="2:16">
      <c r="D17" t="s">
        <v>116</v>
      </c>
      <c r="E17" t="s">
        <v>115</v>
      </c>
      <c r="F17" s="89" t="s">
        <v>115</v>
      </c>
    </row>
    <row r="18" spans="2:16">
      <c r="D18" t="s">
        <v>117</v>
      </c>
      <c r="E18" t="s">
        <v>109</v>
      </c>
      <c r="F18" s="90">
        <v>12</v>
      </c>
    </row>
    <row r="20" spans="2:16" ht="13.25" thickBot="1">
      <c r="B20" s="85" t="s">
        <v>118</v>
      </c>
      <c r="C20" s="85"/>
      <c r="D20" s="85"/>
      <c r="E20" s="85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</row>
    <row r="22" spans="2:16">
      <c r="C22" s="70" t="s">
        <v>119</v>
      </c>
    </row>
    <row r="23" spans="2:16">
      <c r="D23" t="s">
        <v>120</v>
      </c>
      <c r="E23" t="s">
        <v>121</v>
      </c>
      <c r="K23" s="86">
        <v>390</v>
      </c>
    </row>
    <row r="24" spans="2:16">
      <c r="D24" t="s">
        <v>254</v>
      </c>
      <c r="E24" t="s">
        <v>122</v>
      </c>
      <c r="K24" s="86">
        <v>1560000</v>
      </c>
    </row>
    <row r="25" spans="2:16">
      <c r="D25" t="s">
        <v>257</v>
      </c>
      <c r="E25" t="s">
        <v>87</v>
      </c>
      <c r="K25" s="142">
        <v>0.6</v>
      </c>
    </row>
    <row r="26" spans="2:16">
      <c r="D26" t="s">
        <v>258</v>
      </c>
      <c r="E26" t="s">
        <v>87</v>
      </c>
      <c r="K26" s="142">
        <v>0.2</v>
      </c>
    </row>
    <row r="28" spans="2:16">
      <c r="D28" t="s">
        <v>262</v>
      </c>
      <c r="E28" t="s">
        <v>121</v>
      </c>
      <c r="L28" s="88">
        <f>Scenario!L34</f>
        <v>30</v>
      </c>
      <c r="M28" s="88">
        <f>Scenario!M34</f>
        <v>30</v>
      </c>
      <c r="N28" s="88">
        <f>Scenario!N34</f>
        <v>30</v>
      </c>
      <c r="O28" s="88">
        <f>Scenario!O34</f>
        <v>30</v>
      </c>
      <c r="P28" s="88">
        <f>Scenario!P34</f>
        <v>30</v>
      </c>
    </row>
    <row r="30" spans="2:16">
      <c r="C30" s="70" t="s">
        <v>123</v>
      </c>
    </row>
    <row r="31" spans="2:16">
      <c r="D31" t="s">
        <v>124</v>
      </c>
      <c r="E31" t="s">
        <v>87</v>
      </c>
      <c r="L31" s="91">
        <f>Scenario!L26</f>
        <v>0.03</v>
      </c>
      <c r="M31" s="91">
        <f>Scenario!M26</f>
        <v>0.03</v>
      </c>
      <c r="N31" s="91">
        <f>Scenario!N26</f>
        <v>0.03</v>
      </c>
      <c r="O31" s="91">
        <f>Scenario!O26</f>
        <v>0.03</v>
      </c>
      <c r="P31" s="91">
        <f>Scenario!P26</f>
        <v>0.03</v>
      </c>
    </row>
    <row r="33" spans="2:16">
      <c r="D33" t="s">
        <v>125</v>
      </c>
      <c r="E33" t="s">
        <v>126</v>
      </c>
      <c r="K33" s="86">
        <v>20</v>
      </c>
    </row>
    <row r="34" spans="2:16">
      <c r="D34" t="s">
        <v>127</v>
      </c>
      <c r="E34" t="s">
        <v>87</v>
      </c>
      <c r="L34" s="92">
        <f>Scenario!L18</f>
        <v>0.03</v>
      </c>
      <c r="M34" s="92">
        <f>Scenario!M18</f>
        <v>0.03</v>
      </c>
      <c r="N34" s="92">
        <f>Scenario!N18</f>
        <v>0.03</v>
      </c>
      <c r="O34" s="92">
        <f>Scenario!O18</f>
        <v>0.03</v>
      </c>
      <c r="P34" s="92">
        <f>Scenario!P18</f>
        <v>0.03</v>
      </c>
    </row>
    <row r="36" spans="2:16" ht="13.25" thickBot="1">
      <c r="B36" s="85" t="s">
        <v>128</v>
      </c>
      <c r="C36" s="85"/>
      <c r="D36" s="85"/>
      <c r="E36" s="85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</row>
    <row r="37" spans="2:16">
      <c r="C37" s="70" t="s">
        <v>129</v>
      </c>
    </row>
    <row r="38" spans="2:16">
      <c r="D38" t="s">
        <v>130</v>
      </c>
      <c r="E38" t="s">
        <v>87</v>
      </c>
      <c r="K38" s="1">
        <v>0.6</v>
      </c>
    </row>
    <row r="39" spans="2:16">
      <c r="D39" t="s">
        <v>131</v>
      </c>
      <c r="E39" t="s">
        <v>87</v>
      </c>
      <c r="K39" s="87">
        <f>1-K38</f>
        <v>0.4</v>
      </c>
    </row>
    <row r="40" spans="2:16">
      <c r="D40" t="s">
        <v>132</v>
      </c>
      <c r="E40" t="s">
        <v>87</v>
      </c>
      <c r="K40" s="110">
        <f>SUM(K38:K39)</f>
        <v>1</v>
      </c>
    </row>
    <row r="42" spans="2:16">
      <c r="D42" t="s">
        <v>133</v>
      </c>
      <c r="E42" t="s">
        <v>126</v>
      </c>
      <c r="L42" s="86">
        <v>25</v>
      </c>
    </row>
    <row r="44" spans="2:16" ht="13.25" thickBot="1">
      <c r="B44" s="85" t="s">
        <v>134</v>
      </c>
      <c r="C44" s="85"/>
      <c r="D44" s="85"/>
      <c r="E44" s="85"/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</row>
    <row r="46" spans="2:16">
      <c r="D46" t="s">
        <v>135</v>
      </c>
      <c r="E46" t="s">
        <v>126</v>
      </c>
      <c r="L46" s="86">
        <v>140</v>
      </c>
      <c r="M46" s="86">
        <v>140</v>
      </c>
      <c r="N46" s="86">
        <v>150</v>
      </c>
      <c r="O46" s="86">
        <v>150</v>
      </c>
      <c r="P46" s="86">
        <v>150</v>
      </c>
    </row>
    <row r="47" spans="2:16">
      <c r="D47" s="114" t="s">
        <v>136</v>
      </c>
      <c r="E47" s="75" t="s">
        <v>137</v>
      </c>
      <c r="F47" s="76"/>
    </row>
    <row r="49" spans="2:16">
      <c r="C49" s="70" t="s">
        <v>138</v>
      </c>
    </row>
    <row r="50" spans="2:16">
      <c r="D50" t="s">
        <v>139</v>
      </c>
      <c r="E50" t="s">
        <v>140</v>
      </c>
      <c r="F50" s="1">
        <v>0.02</v>
      </c>
    </row>
    <row r="51" spans="2:16">
      <c r="D51" t="s">
        <v>141</v>
      </c>
      <c r="E51" t="s">
        <v>140</v>
      </c>
      <c r="F51" s="1">
        <v>0.1</v>
      </c>
    </row>
    <row r="54" spans="2:16" ht="13.25" thickBot="1">
      <c r="B54" s="85" t="s">
        <v>142</v>
      </c>
      <c r="C54" s="85"/>
      <c r="D54" s="85"/>
      <c r="E54" s="85"/>
      <c r="F54" s="85"/>
      <c r="G54" s="85"/>
      <c r="H54" s="85"/>
      <c r="I54" s="85"/>
      <c r="J54" s="85"/>
      <c r="K54" s="85"/>
      <c r="L54" s="85"/>
      <c r="M54" s="85"/>
      <c r="N54" s="85"/>
      <c r="O54" s="85"/>
      <c r="P54" s="85"/>
    </row>
    <row r="56" spans="2:16">
      <c r="D56" t="str">
        <f>D8</f>
        <v>Days in the period</v>
      </c>
      <c r="E56" t="str">
        <f>E8</f>
        <v>Days</v>
      </c>
      <c r="I56" s="88">
        <f t="shared" ref="I56:P56" si="2">I8</f>
        <v>366</v>
      </c>
      <c r="J56" s="88">
        <f t="shared" si="2"/>
        <v>365</v>
      </c>
      <c r="K56" s="88">
        <f t="shared" si="2"/>
        <v>365</v>
      </c>
      <c r="L56" s="88">
        <f t="shared" si="2"/>
        <v>365</v>
      </c>
      <c r="M56" s="88">
        <f t="shared" si="2"/>
        <v>366</v>
      </c>
      <c r="N56" s="88">
        <f t="shared" si="2"/>
        <v>365</v>
      </c>
      <c r="O56" s="88">
        <f t="shared" si="2"/>
        <v>365</v>
      </c>
      <c r="P56" s="88">
        <f t="shared" si="2"/>
        <v>365</v>
      </c>
    </row>
    <row r="57" spans="2:16">
      <c r="C57" s="70" t="s">
        <v>143</v>
      </c>
    </row>
    <row r="58" spans="2:16">
      <c r="D58" t="str">
        <f>Historical!C13</f>
        <v>Revenue</v>
      </c>
      <c r="E58" t="s">
        <v>126</v>
      </c>
      <c r="I58" s="88">
        <f>Historical!G13</f>
        <v>234.1</v>
      </c>
      <c r="J58" s="88">
        <f>Historical!H13</f>
        <v>258.7</v>
      </c>
      <c r="K58" s="88">
        <f>Historical!I13</f>
        <v>278.89999999999998</v>
      </c>
    </row>
    <row r="59" spans="2:16">
      <c r="D59" t="str">
        <f>Historical!C15</f>
        <v>Operating Costs</v>
      </c>
      <c r="E59" t="s">
        <v>126</v>
      </c>
      <c r="I59" s="88">
        <f>Historical!G15</f>
        <v>74.599999999999994</v>
      </c>
      <c r="J59" s="88">
        <f>Historical!H15</f>
        <v>91.8</v>
      </c>
      <c r="K59" s="88">
        <f>Historical!I15</f>
        <v>102.9</v>
      </c>
    </row>
    <row r="61" spans="2:16">
      <c r="C61" s="70" t="s">
        <v>144</v>
      </c>
    </row>
    <row r="62" spans="2:16">
      <c r="D62" t="str">
        <f>Historical!C88</f>
        <v>Accounts Receivable</v>
      </c>
      <c r="E62" t="s">
        <v>126</v>
      </c>
      <c r="I62" s="88">
        <f>Historical!G88</f>
        <v>16</v>
      </c>
      <c r="J62" s="88">
        <f>Historical!H88</f>
        <v>15.1</v>
      </c>
      <c r="K62" s="88">
        <f>Historical!I88</f>
        <v>20.2</v>
      </c>
    </row>
    <row r="63" spans="2:16">
      <c r="D63" t="str">
        <f>Historical!C89</f>
        <v>Inventory</v>
      </c>
      <c r="E63" t="s">
        <v>126</v>
      </c>
      <c r="I63" s="88">
        <f>Historical!G89</f>
        <v>2.8</v>
      </c>
      <c r="J63" s="88">
        <f>Historical!H89</f>
        <v>3.6</v>
      </c>
      <c r="K63" s="88">
        <f>Historical!I89</f>
        <v>4.2</v>
      </c>
    </row>
    <row r="64" spans="2:16">
      <c r="D64" t="str">
        <f>Historical!C90</f>
        <v>Other Current Assets</v>
      </c>
      <c r="E64" t="s">
        <v>126</v>
      </c>
      <c r="I64" s="88">
        <f>Historical!G90</f>
        <v>0.3</v>
      </c>
      <c r="J64" s="88">
        <f>Historical!H90</f>
        <v>0.2</v>
      </c>
      <c r="K64" s="88">
        <f>Historical!I90</f>
        <v>0.2</v>
      </c>
    </row>
    <row r="66" spans="2:16">
      <c r="C66" s="70" t="s">
        <v>145</v>
      </c>
    </row>
    <row r="67" spans="2:16">
      <c r="D67" t="str">
        <f>Historical!C104</f>
        <v>Accounts Payable</v>
      </c>
      <c r="E67" t="s">
        <v>126</v>
      </c>
      <c r="I67" s="88">
        <f>Historical!G104</f>
        <v>14.9</v>
      </c>
      <c r="J67" s="88">
        <f>Historical!H104</f>
        <v>21.5</v>
      </c>
      <c r="K67" s="88">
        <f>Historical!I104</f>
        <v>23.9</v>
      </c>
    </row>
    <row r="68" spans="2:16">
      <c r="D68" t="str">
        <f>Historical!C105</f>
        <v>Other Current Liabilities</v>
      </c>
      <c r="E68" t="s">
        <v>126</v>
      </c>
      <c r="I68" s="88">
        <f>Historical!G105</f>
        <v>4.5999999999999996</v>
      </c>
      <c r="J68" s="88">
        <f>Historical!H105</f>
        <v>5.0999999999999996</v>
      </c>
      <c r="K68" s="88">
        <f>Historical!I105</f>
        <v>4.9000000000000004</v>
      </c>
    </row>
    <row r="70" spans="2:16">
      <c r="C70" s="70" t="s">
        <v>146</v>
      </c>
    </row>
    <row r="71" spans="2:16">
      <c r="D71" t="s">
        <v>46</v>
      </c>
      <c r="E71" t="s">
        <v>147</v>
      </c>
      <c r="I71">
        <f>I62/I58*I56</f>
        <v>25.014950875694151</v>
      </c>
      <c r="J71">
        <f>J62/J58*J56</f>
        <v>21.304599922690375</v>
      </c>
      <c r="K71">
        <f>K62/K58*K56</f>
        <v>26.43599856579419</v>
      </c>
      <c r="L71" s="86">
        <v>24.25</v>
      </c>
      <c r="M71" s="86">
        <v>24.25</v>
      </c>
      <c r="N71" s="86">
        <v>24.25</v>
      </c>
      <c r="O71" s="86">
        <v>24.25</v>
      </c>
      <c r="P71" s="86">
        <v>24.25</v>
      </c>
    </row>
    <row r="72" spans="2:16">
      <c r="D72" t="s">
        <v>47</v>
      </c>
      <c r="E72" t="s">
        <v>147</v>
      </c>
      <c r="I72">
        <f t="shared" ref="I72:K73" si="3">I63/I$59*I$56</f>
        <v>13.737265415549597</v>
      </c>
      <c r="J72">
        <f t="shared" si="3"/>
        <v>14.313725490196079</v>
      </c>
      <c r="K72">
        <f t="shared" si="3"/>
        <v>14.897959183673468</v>
      </c>
      <c r="L72" s="86">
        <v>14.32</v>
      </c>
      <c r="M72" s="86">
        <v>14.32</v>
      </c>
      <c r="N72" s="86">
        <v>14.32</v>
      </c>
      <c r="O72" s="86">
        <v>14.32</v>
      </c>
      <c r="P72" s="86">
        <v>14.32</v>
      </c>
    </row>
    <row r="73" spans="2:16">
      <c r="D73" t="s">
        <v>48</v>
      </c>
      <c r="E73" t="s">
        <v>147</v>
      </c>
      <c r="I73">
        <f t="shared" si="3"/>
        <v>1.4718498659517427</v>
      </c>
      <c r="J73">
        <f t="shared" si="3"/>
        <v>0.79520697167755994</v>
      </c>
      <c r="K73">
        <f t="shared" si="3"/>
        <v>0.7094266277939747</v>
      </c>
      <c r="L73" s="86">
        <v>0.99</v>
      </c>
      <c r="M73" s="86">
        <v>0.99</v>
      </c>
      <c r="N73" s="86">
        <v>0.99</v>
      </c>
      <c r="O73" s="86">
        <v>0.99</v>
      </c>
      <c r="P73" s="86">
        <v>0.99</v>
      </c>
    </row>
    <row r="75" spans="2:16">
      <c r="C75" s="70" t="s">
        <v>148</v>
      </c>
    </row>
    <row r="76" spans="2:16">
      <c r="D76" t="s">
        <v>58</v>
      </c>
      <c r="E76" t="s">
        <v>147</v>
      </c>
      <c r="I76">
        <f t="shared" ref="I76:K76" si="4">I67/I$59*I$56</f>
        <v>73.101876675603222</v>
      </c>
      <c r="J76">
        <f t="shared" si="4"/>
        <v>85.484749455337692</v>
      </c>
      <c r="K76">
        <f t="shared" si="4"/>
        <v>84.776482021379977</v>
      </c>
      <c r="L76" s="86">
        <v>81.12</v>
      </c>
      <c r="M76" s="86">
        <v>81.12</v>
      </c>
      <c r="N76" s="86">
        <v>81.12</v>
      </c>
      <c r="O76" s="86">
        <v>81.12</v>
      </c>
      <c r="P76" s="86">
        <v>81.12</v>
      </c>
    </row>
    <row r="77" spans="2:16">
      <c r="D77" t="s">
        <v>59</v>
      </c>
      <c r="E77" t="s">
        <v>147</v>
      </c>
      <c r="I77">
        <f>I68/I$59*I$56</f>
        <v>22.568364611260055</v>
      </c>
      <c r="J77">
        <f t="shared" ref="J77:K77" si="5">J68/J$59*J$56</f>
        <v>20.277777777777775</v>
      </c>
      <c r="K77">
        <f t="shared" si="5"/>
        <v>17.38095238095238</v>
      </c>
      <c r="L77" s="86">
        <v>20.079999999999998</v>
      </c>
      <c r="M77" s="86">
        <v>20.079999999999998</v>
      </c>
      <c r="N77" s="86">
        <v>20.079999999999998</v>
      </c>
      <c r="O77" s="86">
        <v>20.079999999999998</v>
      </c>
      <c r="P77" s="86">
        <v>20.079999999999998</v>
      </c>
    </row>
    <row r="78" spans="2:16" ht="7.05" customHeight="1"/>
    <row r="79" spans="2:16" ht="13.25" thickBot="1">
      <c r="B79" s="85" t="s">
        <v>149</v>
      </c>
      <c r="C79" s="85"/>
      <c r="D79" s="85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</row>
    <row r="81" spans="2:16">
      <c r="D81" t="s">
        <v>150</v>
      </c>
      <c r="E81" t="s">
        <v>87</v>
      </c>
      <c r="F81" s="1">
        <v>0.32500000000000001</v>
      </c>
    </row>
    <row r="82" spans="2:16">
      <c r="D82" t="s">
        <v>151</v>
      </c>
      <c r="E82" t="s">
        <v>126</v>
      </c>
      <c r="L82" s="86">
        <v>5</v>
      </c>
      <c r="M82" s="86">
        <v>5</v>
      </c>
      <c r="N82" s="86">
        <v>5</v>
      </c>
      <c r="O82" s="86">
        <v>5</v>
      </c>
      <c r="P82" s="86">
        <v>5</v>
      </c>
    </row>
    <row r="84" spans="2:16" ht="13.25" thickBot="1">
      <c r="B84" s="85" t="s">
        <v>152</v>
      </c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</row>
    <row r="85" spans="2:16" ht="5.5" customHeight="1"/>
    <row r="86" spans="2:16">
      <c r="C86" s="70" t="s">
        <v>153</v>
      </c>
    </row>
    <row r="87" spans="2:16">
      <c r="D87" t="s">
        <v>154</v>
      </c>
      <c r="E87" t="s">
        <v>87</v>
      </c>
      <c r="F87" s="1">
        <v>6.5000000000000002E-2</v>
      </c>
    </row>
    <row r="88" spans="2:16">
      <c r="D88" t="s">
        <v>155</v>
      </c>
      <c r="E88" t="s">
        <v>87</v>
      </c>
      <c r="F88" s="1">
        <v>5.5E-2</v>
      </c>
    </row>
    <row r="90" spans="2:16">
      <c r="D90" t="s">
        <v>156</v>
      </c>
    </row>
    <row r="91" spans="2:16">
      <c r="D91" t="s">
        <v>157</v>
      </c>
      <c r="E91" t="s">
        <v>87</v>
      </c>
      <c r="F91" s="1">
        <v>2.2499999999999999E-2</v>
      </c>
    </row>
    <row r="92" spans="2:16">
      <c r="D92" t="s">
        <v>253</v>
      </c>
      <c r="E92" t="s">
        <v>87</v>
      </c>
      <c r="F92" s="1">
        <v>0.03</v>
      </c>
    </row>
    <row r="93" spans="2:16">
      <c r="D93" t="s">
        <v>158</v>
      </c>
      <c r="E93" t="s">
        <v>87</v>
      </c>
      <c r="F93" s="87">
        <f>SUM(F91:F92)</f>
        <v>5.2499999999999998E-2</v>
      </c>
    </row>
    <row r="95" spans="2:16">
      <c r="D95" t="s">
        <v>159</v>
      </c>
      <c r="E95" t="s">
        <v>87</v>
      </c>
      <c r="F95" s="1">
        <v>7.4999999999999997E-3</v>
      </c>
    </row>
    <row r="97" spans="2:16">
      <c r="D97" t="s">
        <v>160</v>
      </c>
      <c r="E97" t="s">
        <v>126</v>
      </c>
      <c r="L97" s="86">
        <v>50</v>
      </c>
      <c r="M97" s="86">
        <v>50</v>
      </c>
      <c r="N97" s="86">
        <v>50</v>
      </c>
      <c r="O97" s="86">
        <v>50</v>
      </c>
      <c r="P97" s="86">
        <v>50</v>
      </c>
    </row>
    <row r="98" spans="2:16">
      <c r="D98" t="s">
        <v>161</v>
      </c>
      <c r="E98" t="s">
        <v>126</v>
      </c>
      <c r="L98" s="86">
        <v>135</v>
      </c>
      <c r="M98" s="86">
        <v>135</v>
      </c>
      <c r="N98" s="86">
        <v>135</v>
      </c>
      <c r="O98" s="86">
        <v>135</v>
      </c>
      <c r="P98" s="86">
        <v>135</v>
      </c>
    </row>
    <row r="99" spans="2:16">
      <c r="D99" s="89" t="s">
        <v>162</v>
      </c>
    </row>
    <row r="102" spans="2:16" ht="13.25" thickBot="1">
      <c r="B102" s="85" t="s">
        <v>163</v>
      </c>
      <c r="C102" s="85"/>
      <c r="D102" s="85"/>
      <c r="E102" s="85"/>
      <c r="F102" s="85"/>
      <c r="G102" s="85"/>
      <c r="H102" s="85"/>
      <c r="I102" s="85"/>
      <c r="J102" s="85"/>
      <c r="K102" s="85"/>
      <c r="L102" s="85"/>
      <c r="M102" s="85"/>
      <c r="N102" s="85"/>
      <c r="O102" s="85"/>
      <c r="P102" s="85"/>
    </row>
    <row r="104" spans="2:16">
      <c r="C104" s="70" t="s">
        <v>67</v>
      </c>
    </row>
    <row r="105" spans="2:16">
      <c r="D105" t="s">
        <v>164</v>
      </c>
      <c r="E105" t="s">
        <v>126</v>
      </c>
      <c r="L105" s="86">
        <v>-10</v>
      </c>
      <c r="M105" s="86">
        <v>-10</v>
      </c>
      <c r="N105" s="86">
        <v>0</v>
      </c>
      <c r="O105" s="86">
        <v>0</v>
      </c>
      <c r="P105" s="86">
        <v>0</v>
      </c>
    </row>
    <row r="106" spans="2:16">
      <c r="D106" t="s">
        <v>165</v>
      </c>
      <c r="E106" t="s">
        <v>87</v>
      </c>
      <c r="F106" s="1">
        <v>0.21</v>
      </c>
    </row>
    <row r="108" spans="2:16">
      <c r="C108" s="70" t="s">
        <v>166</v>
      </c>
    </row>
    <row r="109" spans="2:16">
      <c r="D109" t="s">
        <v>167</v>
      </c>
      <c r="E109" t="s">
        <v>126</v>
      </c>
      <c r="L109" s="86">
        <v>0</v>
      </c>
      <c r="M109" s="86">
        <v>400</v>
      </c>
      <c r="N109" s="86">
        <v>400</v>
      </c>
      <c r="O109" s="86">
        <v>0</v>
      </c>
      <c r="P109" s="86">
        <v>0</v>
      </c>
    </row>
    <row r="110" spans="2:16">
      <c r="D110" t="s">
        <v>168</v>
      </c>
      <c r="E110" t="s">
        <v>87</v>
      </c>
      <c r="F110" s="1">
        <v>0.08</v>
      </c>
    </row>
    <row r="112" spans="2:16" ht="13.25" thickBot="1">
      <c r="B112" s="85" t="s">
        <v>169</v>
      </c>
      <c r="C112" s="85"/>
      <c r="D112" s="85"/>
      <c r="E112" s="85"/>
      <c r="F112" s="85"/>
      <c r="G112" s="85"/>
      <c r="H112" s="85"/>
      <c r="I112" s="85"/>
      <c r="J112" s="85"/>
      <c r="K112" s="85"/>
      <c r="L112" s="85"/>
      <c r="M112" s="85"/>
      <c r="N112" s="85"/>
      <c r="O112" s="85"/>
      <c r="P112" s="85"/>
    </row>
    <row r="114" spans="4:16">
      <c r="D114" t="s">
        <v>10</v>
      </c>
      <c r="E114" t="s">
        <v>126</v>
      </c>
      <c r="L114" s="86">
        <v>0</v>
      </c>
      <c r="M114" s="86">
        <v>0</v>
      </c>
      <c r="N114" s="86">
        <v>0</v>
      </c>
      <c r="O114" s="86">
        <v>0</v>
      </c>
      <c r="P114" s="86">
        <v>0</v>
      </c>
    </row>
    <row r="115" spans="4:16">
      <c r="D115" t="str">
        <f>Historical!C25</f>
        <v>Foreign Exchange - Gain / (Loss)</v>
      </c>
      <c r="E115" t="s">
        <v>126</v>
      </c>
      <c r="L115" s="86">
        <v>0</v>
      </c>
      <c r="M115" s="86">
        <v>0</v>
      </c>
      <c r="N115" s="86">
        <v>0</v>
      </c>
      <c r="O115" s="86">
        <v>0</v>
      </c>
      <c r="P115" s="86">
        <v>0</v>
      </c>
    </row>
    <row r="116" spans="4:16">
      <c r="D116" t="s">
        <v>170</v>
      </c>
      <c r="E116" t="s">
        <v>126</v>
      </c>
      <c r="L116" s="86">
        <v>0</v>
      </c>
      <c r="M116" s="86">
        <v>0</v>
      </c>
      <c r="N116" s="86">
        <v>0</v>
      </c>
      <c r="O116" s="86">
        <v>0</v>
      </c>
      <c r="P116" s="86">
        <v>0</v>
      </c>
    </row>
    <row r="117" spans="4:16">
      <c r="D117" t="s">
        <v>171</v>
      </c>
      <c r="E117" t="s">
        <v>126</v>
      </c>
      <c r="L117" s="86">
        <v>0</v>
      </c>
      <c r="M117" s="86">
        <v>0</v>
      </c>
      <c r="N117" s="86">
        <v>0</v>
      </c>
      <c r="O117" s="86">
        <v>0</v>
      </c>
      <c r="P117" s="86">
        <v>0</v>
      </c>
    </row>
    <row r="118" spans="4:16">
      <c r="D118" t="s">
        <v>172</v>
      </c>
      <c r="E118" t="s">
        <v>126</v>
      </c>
      <c r="L118" s="86">
        <v>0</v>
      </c>
      <c r="M118" s="86">
        <v>0</v>
      </c>
      <c r="N118" s="86">
        <v>0</v>
      </c>
      <c r="O118" s="86">
        <v>0</v>
      </c>
      <c r="P118" s="86">
        <v>0</v>
      </c>
    </row>
    <row r="119" spans="4:16">
      <c r="D119" t="s">
        <v>173</v>
      </c>
      <c r="E119" t="s">
        <v>126</v>
      </c>
      <c r="L119" s="86">
        <v>0</v>
      </c>
      <c r="M119" s="86">
        <v>0</v>
      </c>
      <c r="N119" s="86">
        <v>0</v>
      </c>
      <c r="O119" s="86">
        <v>0</v>
      </c>
      <c r="P119" s="86">
        <v>0</v>
      </c>
    </row>
    <row r="120" spans="4:16">
      <c r="D120" t="s">
        <v>51</v>
      </c>
      <c r="E120" t="s">
        <v>126</v>
      </c>
      <c r="L120" s="86">
        <v>0</v>
      </c>
      <c r="M120" s="86">
        <v>0</v>
      </c>
      <c r="N120" s="86">
        <v>0</v>
      </c>
      <c r="O120" s="86">
        <v>0</v>
      </c>
      <c r="P120" s="86">
        <v>0</v>
      </c>
    </row>
    <row r="121" spans="4:16">
      <c r="D121" t="s">
        <v>52</v>
      </c>
      <c r="E121" t="s">
        <v>126</v>
      </c>
      <c r="L121" s="86">
        <v>0</v>
      </c>
      <c r="M121" s="86">
        <v>0</v>
      </c>
      <c r="N121" s="86">
        <v>0</v>
      </c>
      <c r="O121" s="86">
        <v>0</v>
      </c>
      <c r="P121" s="86">
        <v>0</v>
      </c>
    </row>
    <row r="122" spans="4:16">
      <c r="D122" t="s">
        <v>53</v>
      </c>
      <c r="E122" t="s">
        <v>126</v>
      </c>
      <c r="L122" s="86">
        <v>0</v>
      </c>
      <c r="M122" s="86">
        <v>0</v>
      </c>
      <c r="N122" s="86">
        <v>0</v>
      </c>
      <c r="O122" s="86">
        <v>0</v>
      </c>
      <c r="P122" s="86">
        <v>0</v>
      </c>
    </row>
    <row r="123" spans="4:16">
      <c r="D123" t="s">
        <v>270</v>
      </c>
      <c r="E123" t="s">
        <v>126</v>
      </c>
      <c r="L123" s="86">
        <v>0</v>
      </c>
      <c r="M123" s="86">
        <v>0</v>
      </c>
      <c r="N123" s="86">
        <v>0</v>
      </c>
      <c r="O123" s="86">
        <v>0</v>
      </c>
      <c r="P123" s="86">
        <v>0</v>
      </c>
    </row>
    <row r="124" spans="4:16">
      <c r="D124" t="s">
        <v>174</v>
      </c>
      <c r="E124" t="s">
        <v>126</v>
      </c>
      <c r="L124" s="86">
        <v>0</v>
      </c>
      <c r="M124" s="86">
        <v>0</v>
      </c>
      <c r="N124" s="86">
        <v>0</v>
      </c>
      <c r="O124" s="86">
        <v>0</v>
      </c>
      <c r="P124" s="86">
        <v>0</v>
      </c>
    </row>
  </sheetData>
  <conditionalFormatting sqref="I3:J3">
    <cfRule type="expression" dxfId="3" priority="1">
      <formula>BalCheck&lt;&gt;0</formula>
    </cfRule>
  </conditionalFormatting>
  <dataValidations count="1">
    <dataValidation type="custom" allowBlank="1" showInputMessage="1" showErrorMessage="1" sqref="K38" xr:uid="{2B142BF8-3669-4E02-9534-A180D1E82F8E}">
      <formula1>AND($K$40=1,$K$39&gt;=0)</formula1>
    </dataValidation>
  </dataValidations>
  <pageMargins left="0.7" right="0.7" top="0.75" bottom="0.75" header="0.3" footer="0.3"/>
  <pageSetup scale="78" fitToHeight="0" orientation="landscape" r:id="rId1"/>
  <headerFooter>
    <oddFooter>&amp;LXcel Stores &amp; Properties
Printed on &amp;D @ &amp;T&amp;CPage &amp;P of &amp;N&amp;RSheet Name: &amp;A
File Name: &amp;F</oddFooter>
  </headerFooter>
  <rowBreaks count="2" manualBreakCount="2">
    <brk id="52" max="16383" man="1"/>
    <brk id="100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02254-60B5-4597-8ADF-3B21F341B6BC}">
  <sheetPr>
    <pageSetUpPr fitToPage="1"/>
  </sheetPr>
  <dimension ref="A1:P38"/>
  <sheetViews>
    <sheetView showGridLines="0" zoomScaleNormal="100" workbookViewId="0">
      <pane ySplit="5" topLeftCell="A6" activePane="bottomLeft" state="frozen"/>
      <selection activeCell="F13" sqref="F13"/>
      <selection pane="bottomLeft" activeCell="A6" sqref="A6"/>
    </sheetView>
  </sheetViews>
  <sheetFormatPr defaultRowHeight="12.7"/>
  <cols>
    <col min="1" max="1" width="5.21875" customWidth="1"/>
    <col min="2" max="2" width="4.21875" customWidth="1"/>
    <col min="3" max="3" width="5.21875" customWidth="1"/>
    <col min="4" max="4" width="37.77734375" customWidth="1"/>
    <col min="5" max="5" width="7.21875" customWidth="1"/>
    <col min="6" max="6" width="12.21875" customWidth="1"/>
    <col min="7" max="8" width="4.21875" customWidth="1"/>
    <col min="12" max="16" width="9.5546875" bestFit="1" customWidth="1"/>
  </cols>
  <sheetData>
    <row r="1" spans="1:16">
      <c r="A1" s="79"/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</row>
    <row r="2" spans="1:16">
      <c r="A2" s="79"/>
      <c r="B2" s="79" t="str">
        <f>Cover!B4</f>
        <v>Xcel Stores &amp; Properties</v>
      </c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</row>
    <row r="3" spans="1:16">
      <c r="A3" s="79"/>
      <c r="B3" s="79"/>
      <c r="C3" s="79" t="s">
        <v>175</v>
      </c>
      <c r="D3" s="79"/>
      <c r="E3" s="79"/>
      <c r="F3" s="79"/>
      <c r="G3" s="79"/>
      <c r="H3" s="79"/>
      <c r="I3" s="80" t="str">
        <f>IF(BalCheck=0,"Bal check: OK","ERROR")</f>
        <v>Bal check: OK</v>
      </c>
      <c r="J3" s="81"/>
      <c r="K3" s="80" t="str" cm="1">
        <f t="array" ref="K3">"Scenario: "&amp;INDEX(S_List,S_Scenario)</f>
        <v>Scenario: Base Case</v>
      </c>
      <c r="L3" s="81"/>
      <c r="M3" s="79"/>
      <c r="N3" s="79"/>
      <c r="O3" s="79"/>
      <c r="P3" s="79"/>
    </row>
    <row r="4" spans="1:16">
      <c r="I4" t="s">
        <v>79</v>
      </c>
      <c r="J4" t="s">
        <v>79</v>
      </c>
      <c r="K4" t="s">
        <v>79</v>
      </c>
      <c r="L4" t="s">
        <v>80</v>
      </c>
      <c r="M4" t="s">
        <v>80</v>
      </c>
      <c r="N4" t="s">
        <v>80</v>
      </c>
      <c r="O4" t="s">
        <v>80</v>
      </c>
      <c r="P4" t="s">
        <v>80</v>
      </c>
    </row>
    <row r="5" spans="1:16">
      <c r="E5" t="s">
        <v>81</v>
      </c>
      <c r="F5" t="s">
        <v>82</v>
      </c>
      <c r="I5" s="83">
        <f>Historical!G7</f>
        <v>2020</v>
      </c>
      <c r="J5" s="83">
        <f>I5+1</f>
        <v>2021</v>
      </c>
      <c r="K5" s="83">
        <f t="shared" ref="K5:P5" si="0">J5+1</f>
        <v>2022</v>
      </c>
      <c r="L5" s="84">
        <f t="shared" si="0"/>
        <v>2023</v>
      </c>
      <c r="M5" s="84">
        <f t="shared" si="0"/>
        <v>2024</v>
      </c>
      <c r="N5" s="84">
        <f t="shared" si="0"/>
        <v>2025</v>
      </c>
      <c r="O5" s="84">
        <f t="shared" si="0"/>
        <v>2026</v>
      </c>
      <c r="P5" s="84">
        <f t="shared" si="0"/>
        <v>2027</v>
      </c>
    </row>
    <row r="7" spans="1:16" ht="13.25" thickBot="1">
      <c r="B7" s="85" t="str" cm="1">
        <f t="array" ref="B7">"Scenario Analysis "&amp;INDEX(S_List,S_Scenario)</f>
        <v>Scenario Analysis Base Case</v>
      </c>
      <c r="C7" s="85"/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</row>
    <row r="9" spans="1:16">
      <c r="D9" t="s">
        <v>176</v>
      </c>
      <c r="F9" s="86">
        <v>1</v>
      </c>
    </row>
    <row r="11" spans="1:16">
      <c r="C11" t="s">
        <v>177</v>
      </c>
    </row>
    <row r="12" spans="1:16">
      <c r="D12" t="s">
        <v>178</v>
      </c>
    </row>
    <row r="13" spans="1:16">
      <c r="D13" t="s">
        <v>179</v>
      </c>
    </row>
    <row r="14" spans="1:16">
      <c r="D14" t="s">
        <v>180</v>
      </c>
    </row>
    <row r="16" spans="1:16" ht="13.25" thickBot="1">
      <c r="B16" s="85" t="s">
        <v>181</v>
      </c>
      <c r="C16" s="85"/>
      <c r="D16" s="85"/>
      <c r="E16" s="85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</row>
    <row r="18" spans="2:16">
      <c r="D18" t="s">
        <v>182</v>
      </c>
      <c r="L18" s="87" cm="1">
        <f t="array" ref="L18">INDEX(L20:L22,S_Scenario)</f>
        <v>0.03</v>
      </c>
      <c r="M18" s="87" cm="1">
        <f t="array" ref="M18">INDEX(M20:M22,S_Scenario)</f>
        <v>0.03</v>
      </c>
      <c r="N18" s="87" cm="1">
        <f t="array" ref="N18">INDEX(N20:N22,S_Scenario)</f>
        <v>0.03</v>
      </c>
      <c r="O18" s="87" cm="1">
        <f t="array" ref="O18">INDEX(O20:O22,S_Scenario)</f>
        <v>0.03</v>
      </c>
      <c r="P18" s="87" cm="1">
        <f t="array" ref="P18">INDEX(P20:P22,S_Scenario)</f>
        <v>0.03</v>
      </c>
    </row>
    <row r="19" spans="2:16" ht="5.5" customHeight="1">
      <c r="L19" s="87"/>
      <c r="M19" s="87"/>
      <c r="N19" s="87"/>
      <c r="O19" s="87"/>
      <c r="P19" s="87"/>
    </row>
    <row r="20" spans="2:16">
      <c r="D20" t="s">
        <v>178</v>
      </c>
      <c r="E20" t="s">
        <v>87</v>
      </c>
      <c r="L20" s="1">
        <v>0.03</v>
      </c>
      <c r="M20" s="1">
        <v>0.03</v>
      </c>
      <c r="N20" s="1">
        <v>0.03</v>
      </c>
      <c r="O20" s="1">
        <v>0.03</v>
      </c>
      <c r="P20" s="1">
        <v>0.03</v>
      </c>
    </row>
    <row r="21" spans="2:16">
      <c r="D21" t="s">
        <v>179</v>
      </c>
      <c r="E21" t="s">
        <v>87</v>
      </c>
      <c r="L21" s="1">
        <v>0.02</v>
      </c>
      <c r="M21" s="1">
        <v>0.02</v>
      </c>
      <c r="N21" s="1">
        <v>0.02</v>
      </c>
      <c r="O21" s="1">
        <v>0.02</v>
      </c>
      <c r="P21" s="1">
        <v>0.02</v>
      </c>
    </row>
    <row r="22" spans="2:16">
      <c r="D22" t="s">
        <v>180</v>
      </c>
      <c r="E22" t="s">
        <v>87</v>
      </c>
      <c r="L22" s="1">
        <v>0.04</v>
      </c>
      <c r="M22" s="1">
        <v>0.04</v>
      </c>
      <c r="N22" s="1">
        <v>0.04</v>
      </c>
      <c r="O22" s="1">
        <v>0.04</v>
      </c>
      <c r="P22" s="1">
        <v>0.04</v>
      </c>
    </row>
    <row r="24" spans="2:16" ht="13.25" thickBot="1">
      <c r="B24" s="85" t="s">
        <v>183</v>
      </c>
      <c r="C24" s="85"/>
      <c r="D24" s="85"/>
      <c r="E24" s="85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</row>
    <row r="26" spans="2:16">
      <c r="D26" t="s">
        <v>182</v>
      </c>
      <c r="L26" s="87" cm="1">
        <f t="array" ref="L26">INDEX(L28:L30,S_Scenario)</f>
        <v>0.03</v>
      </c>
      <c r="M26" s="87" cm="1">
        <f t="array" ref="M26">INDEX(M28:M30,S_Scenario)</f>
        <v>0.03</v>
      </c>
      <c r="N26" s="87" cm="1">
        <f t="array" ref="N26">INDEX(N28:N30,S_Scenario)</f>
        <v>0.03</v>
      </c>
      <c r="O26" s="87" cm="1">
        <f t="array" ref="O26">INDEX(O28:O30,S_Scenario)</f>
        <v>0.03</v>
      </c>
      <c r="P26" s="87" cm="1">
        <f t="array" ref="P26">INDEX(P28:P30,S_Scenario)</f>
        <v>0.03</v>
      </c>
    </row>
    <row r="27" spans="2:16" ht="6.05" customHeight="1"/>
    <row r="28" spans="2:16">
      <c r="D28" t="s">
        <v>178</v>
      </c>
      <c r="E28" t="s">
        <v>87</v>
      </c>
      <c r="L28" s="1">
        <v>0.03</v>
      </c>
      <c r="M28" s="1">
        <v>0.03</v>
      </c>
      <c r="N28" s="1">
        <v>0.03</v>
      </c>
      <c r="O28" s="1">
        <v>0.03</v>
      </c>
      <c r="P28" s="1">
        <v>0.03</v>
      </c>
    </row>
    <row r="29" spans="2:16">
      <c r="D29" t="s">
        <v>179</v>
      </c>
      <c r="E29" t="s">
        <v>87</v>
      </c>
      <c r="L29" s="1">
        <v>0.04</v>
      </c>
      <c r="M29" s="1">
        <v>0.04</v>
      </c>
      <c r="N29" s="1">
        <v>0.04</v>
      </c>
      <c r="O29" s="1">
        <v>0.04</v>
      </c>
      <c r="P29" s="1">
        <v>0.04</v>
      </c>
    </row>
    <row r="30" spans="2:16">
      <c r="D30" t="s">
        <v>180</v>
      </c>
      <c r="E30" t="s">
        <v>87</v>
      </c>
      <c r="L30" s="1">
        <v>0.02</v>
      </c>
      <c r="M30" s="1">
        <v>0.04</v>
      </c>
      <c r="N30" s="1">
        <v>0.04</v>
      </c>
      <c r="O30" s="1">
        <v>0.04</v>
      </c>
      <c r="P30" s="1">
        <v>0.04</v>
      </c>
    </row>
    <row r="32" spans="2:16" ht="13.25" thickBot="1">
      <c r="B32" s="85" t="s">
        <v>184</v>
      </c>
      <c r="C32" s="85"/>
      <c r="D32" s="85"/>
      <c r="E32" s="8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</row>
    <row r="34" spans="4:16">
      <c r="D34" t="s">
        <v>182</v>
      </c>
      <c r="L34" cm="1">
        <f t="array" ref="L34">INDEX(L36:L38,S_Scenario)</f>
        <v>30</v>
      </c>
      <c r="M34" cm="1">
        <f t="array" ref="M34">INDEX(M36:M38,S_Scenario)</f>
        <v>30</v>
      </c>
      <c r="N34" cm="1">
        <f t="array" ref="N34">INDEX(N36:N38,S_Scenario)</f>
        <v>30</v>
      </c>
      <c r="O34" cm="1">
        <f t="array" ref="O34">INDEX(O36:O38,S_Scenario)</f>
        <v>30</v>
      </c>
      <c r="P34" cm="1">
        <f t="array" ref="P34">INDEX(P36:P38,S_Scenario)</f>
        <v>30</v>
      </c>
    </row>
    <row r="35" spans="4:16" ht="7.05" customHeight="1"/>
    <row r="36" spans="4:16">
      <c r="D36" t="s">
        <v>178</v>
      </c>
      <c r="E36" t="s">
        <v>81</v>
      </c>
      <c r="L36" s="86">
        <v>30</v>
      </c>
      <c r="M36" s="86">
        <v>30</v>
      </c>
      <c r="N36" s="86">
        <v>30</v>
      </c>
      <c r="O36" s="86">
        <v>30</v>
      </c>
      <c r="P36" s="86">
        <v>30</v>
      </c>
    </row>
    <row r="37" spans="4:16">
      <c r="D37" t="s">
        <v>179</v>
      </c>
      <c r="E37" t="s">
        <v>81</v>
      </c>
      <c r="L37" s="86">
        <v>35</v>
      </c>
      <c r="M37" s="86">
        <v>35</v>
      </c>
      <c r="N37" s="86">
        <v>35</v>
      </c>
      <c r="O37" s="86">
        <v>35</v>
      </c>
      <c r="P37" s="86">
        <v>35</v>
      </c>
    </row>
    <row r="38" spans="4:16">
      <c r="D38" t="s">
        <v>180</v>
      </c>
      <c r="E38" t="s">
        <v>81</v>
      </c>
      <c r="L38" s="86">
        <v>25</v>
      </c>
      <c r="M38" s="86">
        <v>25</v>
      </c>
      <c r="N38" s="86">
        <v>25</v>
      </c>
      <c r="O38" s="86">
        <v>25</v>
      </c>
      <c r="P38" s="86">
        <v>25</v>
      </c>
    </row>
  </sheetData>
  <conditionalFormatting sqref="I3:J3">
    <cfRule type="expression" dxfId="2" priority="1">
      <formula>BalCheck&lt;&gt;0</formula>
    </cfRule>
  </conditionalFormatting>
  <pageMargins left="0.7" right="0.7" top="0.75" bottom="0.75" header="0.3" footer="0.3"/>
  <pageSetup scale="80" fitToHeight="0" orientation="landscape" r:id="rId1"/>
  <headerFooter>
    <oddFooter>&amp;LXcel Stores &amp; Properties
Printed on &amp;D @ &amp;T&amp;CPage &amp;P of &amp;N&amp;RSheet Name: &amp;A
File Name: &amp;F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4" name="Drop Down 1">
              <controlPr defaultSize="0" autoLine="0" autoPict="0">
                <anchor moveWithCells="1">
                  <from>
                    <xdr:col>4</xdr:col>
                    <xdr:colOff>504749</xdr:colOff>
                    <xdr:row>7</xdr:row>
                    <xdr:rowOff>146304</xdr:rowOff>
                  </from>
                  <to>
                    <xdr:col>6</xdr:col>
                    <xdr:colOff>0</xdr:colOff>
                    <xdr:row>9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5FFD8-8AF4-4BDC-8938-B1C6BC00940B}">
  <sheetPr>
    <pageSetUpPr fitToPage="1"/>
  </sheetPr>
  <dimension ref="A1:R383"/>
  <sheetViews>
    <sheetView showGridLines="0" tabSelected="1" zoomScale="85" zoomScaleNormal="85" workbookViewId="0">
      <pane ySplit="5" topLeftCell="A6" activePane="bottomLeft" state="frozen"/>
      <selection activeCell="F13" sqref="F13"/>
      <selection pane="bottomLeft" activeCell="A6" sqref="A6"/>
    </sheetView>
  </sheetViews>
  <sheetFormatPr defaultRowHeight="12.7"/>
  <cols>
    <col min="1" max="1" width="5.21875" customWidth="1"/>
    <col min="2" max="2" width="4.21875" customWidth="1"/>
    <col min="3" max="3" width="2.5546875" customWidth="1"/>
    <col min="4" max="4" width="56.5546875" customWidth="1"/>
    <col min="5" max="5" width="11.33203125" customWidth="1"/>
    <col min="6" max="6" width="12.109375" bestFit="1" customWidth="1"/>
    <col min="7" max="7" width="5.21875" customWidth="1"/>
    <col min="8" max="8" width="4.21875" customWidth="1"/>
    <col min="9" max="9" width="12.44140625" customWidth="1"/>
    <col min="10" max="10" width="12.109375" bestFit="1" customWidth="1"/>
    <col min="11" max="11" width="12.5546875" customWidth="1"/>
    <col min="12" max="16" width="13.44140625" customWidth="1"/>
    <col min="17" max="17" width="2.44140625" customWidth="1"/>
    <col min="18" max="18" width="5.77734375" customWidth="1"/>
  </cols>
  <sheetData>
    <row r="1" spans="1:18">
      <c r="A1" s="79"/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</row>
    <row r="2" spans="1:18">
      <c r="A2" s="79"/>
      <c r="B2" s="79" t="str">
        <f>Cover!B4</f>
        <v>Xcel Stores &amp; Properties</v>
      </c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</row>
    <row r="3" spans="1:18">
      <c r="A3" s="79"/>
      <c r="B3" s="79"/>
      <c r="C3" s="79" t="s">
        <v>185</v>
      </c>
      <c r="D3" s="79"/>
      <c r="E3" s="79"/>
      <c r="F3" s="79"/>
      <c r="G3" s="79"/>
      <c r="H3" s="79"/>
      <c r="I3" s="80" t="str">
        <f>IF(BalCheck=0,"Bal check: OK","ERROR")</f>
        <v>Bal check: OK</v>
      </c>
      <c r="J3" s="81"/>
      <c r="K3" s="80" t="str" cm="1">
        <f t="array" ref="K3">"Scenario: "&amp;INDEX(S_List,S_Scenario)</f>
        <v>Scenario: Base Case</v>
      </c>
      <c r="L3" s="81"/>
      <c r="M3" s="79"/>
      <c r="N3" s="79"/>
      <c r="O3" s="79"/>
      <c r="P3" s="79"/>
    </row>
    <row r="4" spans="1:18">
      <c r="I4" s="137" t="s">
        <v>79</v>
      </c>
      <c r="J4" s="137" t="s">
        <v>79</v>
      </c>
      <c r="K4" s="137" t="s">
        <v>79</v>
      </c>
      <c r="L4" s="137" t="s">
        <v>80</v>
      </c>
      <c r="M4" s="137" t="s">
        <v>80</v>
      </c>
      <c r="N4" s="137" t="s">
        <v>80</v>
      </c>
      <c r="O4" s="137" t="s">
        <v>80</v>
      </c>
      <c r="P4" s="137" t="s">
        <v>80</v>
      </c>
    </row>
    <row r="5" spans="1:18">
      <c r="E5" t="s">
        <v>81</v>
      </c>
      <c r="F5" t="s">
        <v>82</v>
      </c>
      <c r="I5" s="138">
        <f>Historical!G7</f>
        <v>2020</v>
      </c>
      <c r="J5" s="138">
        <f>I5+1</f>
        <v>2021</v>
      </c>
      <c r="K5" s="138">
        <f t="shared" ref="K5:P5" si="0">J5+1</f>
        <v>2022</v>
      </c>
      <c r="L5" s="139">
        <f t="shared" si="0"/>
        <v>2023</v>
      </c>
      <c r="M5" s="139">
        <f t="shared" si="0"/>
        <v>2024</v>
      </c>
      <c r="N5" s="139">
        <f t="shared" si="0"/>
        <v>2025</v>
      </c>
      <c r="O5" s="139">
        <f t="shared" si="0"/>
        <v>2026</v>
      </c>
      <c r="P5" s="139">
        <f t="shared" si="0"/>
        <v>2027</v>
      </c>
      <c r="R5" s="135">
        <v>2</v>
      </c>
    </row>
    <row r="7" spans="1:18" ht="13.25" thickBot="1">
      <c r="B7" s="85" t="s">
        <v>186</v>
      </c>
      <c r="C7" s="85"/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</row>
    <row r="9" spans="1:18" ht="13.25" thickBot="1">
      <c r="C9" s="85" t="s">
        <v>187</v>
      </c>
      <c r="D9" s="85"/>
      <c r="E9" s="85"/>
      <c r="F9" s="85"/>
      <c r="G9" s="85"/>
      <c r="H9" s="85"/>
      <c r="I9" s="85"/>
      <c r="J9" s="85"/>
      <c r="K9" s="85"/>
      <c r="L9" s="85"/>
      <c r="M9" s="85"/>
      <c r="N9" s="85"/>
      <c r="O9" s="85"/>
      <c r="P9" s="85"/>
    </row>
    <row r="11" spans="1:18">
      <c r="D11" t="str">
        <f>Historical!C13</f>
        <v>Revenue</v>
      </c>
      <c r="E11" t="s">
        <v>126</v>
      </c>
      <c r="I11" s="88">
        <f>Historical!G13</f>
        <v>234.1</v>
      </c>
      <c r="J11" s="88">
        <f>Historical!H13</f>
        <v>258.7</v>
      </c>
      <c r="K11" s="88">
        <f>Historical!I13</f>
        <v>278.89999999999998</v>
      </c>
      <c r="L11">
        <f>L155</f>
        <v>307.77984615384611</v>
      </c>
      <c r="M11">
        <f t="shared" ref="M11:P11" si="1">M155</f>
        <v>338.14147307692298</v>
      </c>
      <c r="N11">
        <f t="shared" si="1"/>
        <v>370.04779575384606</v>
      </c>
      <c r="O11">
        <f t="shared" si="1"/>
        <v>403.56417046561529</v>
      </c>
      <c r="P11">
        <f t="shared" si="1"/>
        <v>423.3668919343599</v>
      </c>
      <c r="R11" t="str">
        <f ca="1">IF($R$5=1,_xlfn.FORMULATEXT(P11),"")</f>
        <v/>
      </c>
    </row>
    <row r="13" spans="1:18">
      <c r="D13" t="str">
        <f>Historical!C15</f>
        <v>Operating Costs</v>
      </c>
      <c r="E13" t="s">
        <v>126</v>
      </c>
      <c r="I13" s="88">
        <f>Historical!G15</f>
        <v>74.599999999999994</v>
      </c>
      <c r="J13" s="88">
        <f>Historical!H15</f>
        <v>91.8</v>
      </c>
      <c r="K13" s="88">
        <f>Historical!I15</f>
        <v>102.9</v>
      </c>
      <c r="L13">
        <f>L175</f>
        <v>110.8787076923077</v>
      </c>
      <c r="M13">
        <f t="shared" ref="M13:P13" si="2">M175</f>
        <v>119.24352784615387</v>
      </c>
      <c r="N13">
        <f t="shared" si="2"/>
        <v>128.01044637230768</v>
      </c>
      <c r="O13">
        <f t="shared" si="2"/>
        <v>137.19606083496924</v>
      </c>
      <c r="P13">
        <f t="shared" si="2"/>
        <v>143.14716269456403</v>
      </c>
      <c r="R13" t="str">
        <f t="shared" ref="R13:R15" ca="1" si="3">IF($R$5=1,_xlfn.FORMULATEXT(P13),"")</f>
        <v/>
      </c>
    </row>
    <row r="14" spans="1:18">
      <c r="D14" t="str">
        <f>Historical!C16</f>
        <v>SG&amp;A</v>
      </c>
      <c r="E14" t="s">
        <v>126</v>
      </c>
      <c r="I14" s="88">
        <f>Historical!G16</f>
        <v>14.5</v>
      </c>
      <c r="J14" s="88">
        <f>Historical!H16</f>
        <v>16.899999999999999</v>
      </c>
      <c r="K14" s="88">
        <f>Historical!I16</f>
        <v>19.799999999999997</v>
      </c>
      <c r="L14">
        <f>L177</f>
        <v>25</v>
      </c>
      <c r="M14">
        <f t="shared" ref="M14:P14" si="4">M177</f>
        <v>25.75</v>
      </c>
      <c r="N14">
        <f t="shared" si="4"/>
        <v>26.522500000000001</v>
      </c>
      <c r="O14">
        <f t="shared" si="4"/>
        <v>27.318175</v>
      </c>
      <c r="P14">
        <f t="shared" si="4"/>
        <v>28.137720250000001</v>
      </c>
      <c r="R14" t="str">
        <f t="shared" ca="1" si="3"/>
        <v/>
      </c>
    </row>
    <row r="15" spans="1:18" s="70" customFormat="1">
      <c r="D15" s="70" t="str">
        <f>Historical!C17</f>
        <v>Total Costs</v>
      </c>
      <c r="E15" t="s">
        <v>126</v>
      </c>
      <c r="I15" s="70">
        <f>I13+I14</f>
        <v>89.1</v>
      </c>
      <c r="J15" s="70">
        <f t="shared" ref="J15:K15" si="5">J13+J14</f>
        <v>108.69999999999999</v>
      </c>
      <c r="K15" s="70">
        <f t="shared" si="5"/>
        <v>122.7</v>
      </c>
      <c r="L15" s="70">
        <f t="shared" ref="L15" si="6">L13+L14</f>
        <v>135.8787076923077</v>
      </c>
      <c r="M15" s="70">
        <f t="shared" ref="M15" si="7">M13+M14</f>
        <v>144.99352784615388</v>
      </c>
      <c r="N15" s="70">
        <f t="shared" ref="N15" si="8">N13+N14</f>
        <v>154.53294637230769</v>
      </c>
      <c r="O15" s="70">
        <f t="shared" ref="O15" si="9">O13+O14</f>
        <v>164.51423583496924</v>
      </c>
      <c r="P15" s="70">
        <f t="shared" ref="P15" si="10">P13+P14</f>
        <v>171.28488294456403</v>
      </c>
      <c r="R15" t="str">
        <f t="shared" ca="1" si="3"/>
        <v/>
      </c>
    </row>
    <row r="17" spans="4:18">
      <c r="D17" t="str">
        <f>Historical!C19</f>
        <v>Cost Adjustments - Gain / (Loss)</v>
      </c>
      <c r="E17" t="s">
        <v>126</v>
      </c>
      <c r="I17" s="88">
        <f>Historical!G19</f>
        <v>0</v>
      </c>
      <c r="J17" s="88">
        <f>Historical!H19</f>
        <v>0.8</v>
      </c>
      <c r="K17" s="88">
        <f>Historical!I19</f>
        <v>2.2999999999999998</v>
      </c>
      <c r="L17">
        <f>Assumptions!L114</f>
        <v>0</v>
      </c>
      <c r="M17">
        <f>Assumptions!M114</f>
        <v>0</v>
      </c>
      <c r="N17">
        <f>Assumptions!N114</f>
        <v>0</v>
      </c>
      <c r="O17">
        <f>Assumptions!O114</f>
        <v>0</v>
      </c>
      <c r="P17">
        <f>Assumptions!P114</f>
        <v>0</v>
      </c>
      <c r="R17" t="str">
        <f t="shared" ref="R17:R18" ca="1" si="11">IF($R$5=1,_xlfn.FORMULATEXT(P17),"")</f>
        <v/>
      </c>
    </row>
    <row r="18" spans="4:18" s="70" customFormat="1">
      <c r="D18" s="70" t="str">
        <f>Historical!C20</f>
        <v>EBITDA</v>
      </c>
      <c r="E18" t="s">
        <v>126</v>
      </c>
      <c r="I18" s="70">
        <f>I11-I15+I17</f>
        <v>145</v>
      </c>
      <c r="J18" s="70">
        <f t="shared" ref="J18:K18" si="12">J11-J15+J17</f>
        <v>150.80000000000001</v>
      </c>
      <c r="K18" s="70">
        <f t="shared" si="12"/>
        <v>158.5</v>
      </c>
      <c r="L18" s="70">
        <f t="shared" ref="L18" si="13">L11-L15+L17</f>
        <v>171.90113846153841</v>
      </c>
      <c r="M18" s="70">
        <f t="shared" ref="M18" si="14">M11-M15+M17</f>
        <v>193.1479452307691</v>
      </c>
      <c r="N18" s="70">
        <f t="shared" ref="N18" si="15">N11-N15+N17</f>
        <v>215.51484938153837</v>
      </c>
      <c r="O18" s="70">
        <f t="shared" ref="O18" si="16">O11-O15+O17</f>
        <v>239.04993463064605</v>
      </c>
      <c r="P18" s="70">
        <f t="shared" ref="P18" si="17">P11-P15+P17</f>
        <v>252.08200898979587</v>
      </c>
      <c r="R18" t="str">
        <f t="shared" ca="1" si="11"/>
        <v/>
      </c>
    </row>
    <row r="20" spans="4:18">
      <c r="D20" t="str">
        <f>Historical!C22</f>
        <v>Depreciation</v>
      </c>
      <c r="E20" t="s">
        <v>126</v>
      </c>
      <c r="I20" s="88">
        <f>Historical!G22</f>
        <v>41.7</v>
      </c>
      <c r="J20" s="88">
        <f>Historical!H22</f>
        <v>46.2</v>
      </c>
      <c r="K20" s="88">
        <f>Historical!I22</f>
        <v>54.6</v>
      </c>
      <c r="L20">
        <f>L246</f>
        <v>57.843999999999994</v>
      </c>
      <c r="M20">
        <f t="shared" ref="M20:P20" si="18">M246</f>
        <v>70.127119999999991</v>
      </c>
      <c r="N20">
        <f t="shared" si="18"/>
        <v>81.600577600000008</v>
      </c>
      <c r="O20">
        <f t="shared" si="18"/>
        <v>92.346966047999999</v>
      </c>
      <c r="P20">
        <f t="shared" si="18"/>
        <v>101.94058672704</v>
      </c>
      <c r="R20" t="str">
        <f t="shared" ref="R20:R21" ca="1" si="19">IF($R$5=1,_xlfn.FORMULATEXT(P20),"")</f>
        <v/>
      </c>
    </row>
    <row r="21" spans="4:18" s="70" customFormat="1">
      <c r="D21" s="70" t="str">
        <f>Historical!C23</f>
        <v>EBIT</v>
      </c>
      <c r="E21" t="s">
        <v>126</v>
      </c>
      <c r="I21" s="70">
        <f>I18-I20</f>
        <v>103.3</v>
      </c>
      <c r="J21" s="70">
        <f t="shared" ref="J21:L21" si="20">J18-J20</f>
        <v>104.60000000000001</v>
      </c>
      <c r="K21" s="70">
        <f t="shared" si="20"/>
        <v>103.9</v>
      </c>
      <c r="L21" s="70">
        <f t="shared" si="20"/>
        <v>114.05713846153841</v>
      </c>
      <c r="M21" s="70">
        <f t="shared" ref="M21" si="21">M18-M20</f>
        <v>123.02082523076911</v>
      </c>
      <c r="N21" s="70">
        <f t="shared" ref="N21" si="22">N18-N20</f>
        <v>133.91427178153836</v>
      </c>
      <c r="O21" s="70">
        <f t="shared" ref="O21" si="23">O18-O20</f>
        <v>146.70296858264606</v>
      </c>
      <c r="P21" s="70">
        <f t="shared" ref="P21" si="24">P18-P20</f>
        <v>150.14142226275587</v>
      </c>
      <c r="R21" t="str">
        <f t="shared" ca="1" si="19"/>
        <v/>
      </c>
    </row>
    <row r="23" spans="4:18">
      <c r="D23" t="str">
        <f>Historical!C25</f>
        <v>Foreign Exchange - Gain / (Loss)</v>
      </c>
      <c r="E23" t="s">
        <v>126</v>
      </c>
      <c r="I23" s="88">
        <f>Historical!G25</f>
        <v>0</v>
      </c>
      <c r="J23" s="88">
        <f>Historical!H25</f>
        <v>-2.6</v>
      </c>
      <c r="K23" s="88">
        <f>Historical!I25</f>
        <v>0</v>
      </c>
      <c r="L23">
        <f>Assumptions!L115</f>
        <v>0</v>
      </c>
      <c r="M23">
        <f>Assumptions!M115</f>
        <v>0</v>
      </c>
      <c r="N23">
        <f>Assumptions!N115</f>
        <v>0</v>
      </c>
      <c r="O23">
        <f>Assumptions!O115</f>
        <v>0</v>
      </c>
      <c r="P23">
        <f>Assumptions!P115</f>
        <v>0</v>
      </c>
      <c r="R23" t="str">
        <f t="shared" ref="R23:R25" ca="1" si="25">IF($R$5=1,_xlfn.FORMULATEXT(P23),"")</f>
        <v/>
      </c>
    </row>
    <row r="24" spans="4:18">
      <c r="D24" t="str">
        <f>Historical!C26</f>
        <v>Net Interest Expense</v>
      </c>
      <c r="E24" t="s">
        <v>126</v>
      </c>
      <c r="I24" s="88">
        <f>Historical!G26</f>
        <v>33.5</v>
      </c>
      <c r="J24" s="88">
        <f>Historical!H26</f>
        <v>34.200000000000003</v>
      </c>
      <c r="K24" s="88">
        <f>Historical!I26</f>
        <v>36.6</v>
      </c>
      <c r="L24">
        <f>L383</f>
        <v>45.798250000000003</v>
      </c>
      <c r="M24">
        <f t="shared" ref="M24:P24" si="26">M383</f>
        <v>39.0811397239504</v>
      </c>
      <c r="N24">
        <f t="shared" si="26"/>
        <v>25.734650299452706</v>
      </c>
      <c r="O24">
        <f t="shared" si="26"/>
        <v>14.23231907479189</v>
      </c>
      <c r="P24">
        <f t="shared" si="26"/>
        <v>5.5524189706364657</v>
      </c>
      <c r="R24" t="str">
        <f t="shared" ca="1" si="25"/>
        <v/>
      </c>
    </row>
    <row r="25" spans="4:18" s="70" customFormat="1">
      <c r="D25" s="70" t="str">
        <f>Historical!C27</f>
        <v>EBT</v>
      </c>
      <c r="E25" t="s">
        <v>126</v>
      </c>
      <c r="I25" s="70">
        <f>I21+I23-I24</f>
        <v>69.8</v>
      </c>
      <c r="J25" s="70">
        <f t="shared" ref="J25:K25" si="27">J21+J23-J24</f>
        <v>67.800000000000011</v>
      </c>
      <c r="K25" s="70">
        <f t="shared" si="27"/>
        <v>67.300000000000011</v>
      </c>
      <c r="L25" s="70">
        <f t="shared" ref="L25" si="28">L21+L23-L24</f>
        <v>68.258888461538419</v>
      </c>
      <c r="M25" s="70">
        <f t="shared" ref="M25" si="29">M21+M23-M24</f>
        <v>83.939685506818705</v>
      </c>
      <c r="N25" s="70">
        <f t="shared" ref="N25" si="30">N21+N23-N24</f>
        <v>108.17962148208565</v>
      </c>
      <c r="O25" s="70">
        <f t="shared" ref="O25" si="31">O21+O23-O24</f>
        <v>132.47064950785418</v>
      </c>
      <c r="P25" s="70">
        <f t="shared" ref="P25" si="32">P21+P23-P24</f>
        <v>144.5890032921194</v>
      </c>
      <c r="R25" t="str">
        <f t="shared" ca="1" si="25"/>
        <v/>
      </c>
    </row>
    <row r="27" spans="4:18">
      <c r="D27" t="str">
        <f>Historical!C29</f>
        <v>Current Taxes</v>
      </c>
      <c r="E27" t="s">
        <v>126</v>
      </c>
      <c r="I27" s="88">
        <f>Historical!G29</f>
        <v>11.3</v>
      </c>
      <c r="J27" s="88">
        <f>Historical!H29</f>
        <v>10.5</v>
      </c>
      <c r="K27" s="88">
        <f>Historical!I29</f>
        <v>15.8</v>
      </c>
      <c r="L27">
        <f>L294</f>
        <v>20.559138749999988</v>
      </c>
      <c r="M27">
        <f t="shared" ref="M27:P27" si="33">M294</f>
        <v>25.65539778971608</v>
      </c>
      <c r="N27">
        <f t="shared" si="33"/>
        <v>33.53337698167784</v>
      </c>
      <c r="O27">
        <f t="shared" si="33"/>
        <v>41.427961090052605</v>
      </c>
      <c r="P27">
        <f t="shared" si="33"/>
        <v>45.366426069938804</v>
      </c>
      <c r="R27" t="str">
        <f t="shared" ref="R27:R29" ca="1" si="34">IF($R$5=1,_xlfn.FORMULATEXT(P27),"")</f>
        <v/>
      </c>
    </row>
    <row r="28" spans="4:18">
      <c r="D28" t="str">
        <f>Historical!C30</f>
        <v>Deferred Income Taxes</v>
      </c>
      <c r="E28" t="s">
        <v>126</v>
      </c>
      <c r="I28" s="88">
        <f>Historical!G30</f>
        <v>10.399999999999999</v>
      </c>
      <c r="J28" s="88">
        <f>Historical!H30</f>
        <v>11.8</v>
      </c>
      <c r="K28" s="88">
        <f>Historical!I30</f>
        <v>8.3999999999999986</v>
      </c>
      <c r="L28">
        <f>L295</f>
        <v>1.625</v>
      </c>
      <c r="M28">
        <f t="shared" ref="M28:P28" si="35">M295</f>
        <v>1.625</v>
      </c>
      <c r="N28">
        <f t="shared" si="35"/>
        <v>1.625</v>
      </c>
      <c r="O28">
        <f t="shared" si="35"/>
        <v>1.625</v>
      </c>
      <c r="P28">
        <f t="shared" si="35"/>
        <v>1.625</v>
      </c>
      <c r="R28" t="str">
        <f t="shared" ca="1" si="34"/>
        <v/>
      </c>
    </row>
    <row r="29" spans="4:18" s="70" customFormat="1">
      <c r="D29" s="70" t="str">
        <f>Historical!C31</f>
        <v>Total Income Taxes</v>
      </c>
      <c r="E29" t="s">
        <v>126</v>
      </c>
      <c r="I29" s="70">
        <f t="shared" ref="I29:K29" si="36">SUM(I27:I28)</f>
        <v>21.7</v>
      </c>
      <c r="J29" s="70">
        <f t="shared" si="36"/>
        <v>22.3</v>
      </c>
      <c r="K29" s="70">
        <f t="shared" si="36"/>
        <v>24.2</v>
      </c>
      <c r="L29" s="70">
        <f t="shared" ref="L29" si="37">SUM(L27:L28)</f>
        <v>22.184138749999988</v>
      </c>
      <c r="M29" s="70">
        <f t="shared" ref="M29" si="38">SUM(M27:M28)</f>
        <v>27.28039778971608</v>
      </c>
      <c r="N29" s="70">
        <f t="shared" ref="N29" si="39">SUM(N27:N28)</f>
        <v>35.15837698167784</v>
      </c>
      <c r="O29" s="70">
        <f t="shared" ref="O29" si="40">SUM(O27:O28)</f>
        <v>43.052961090052605</v>
      </c>
      <c r="P29" s="70">
        <f t="shared" ref="P29" si="41">SUM(P27:P28)</f>
        <v>46.991426069938804</v>
      </c>
      <c r="R29" t="str">
        <f t="shared" ca="1" si="34"/>
        <v/>
      </c>
    </row>
    <row r="31" spans="4:18" s="70" customFormat="1">
      <c r="D31" s="70" t="str">
        <f>Historical!C33</f>
        <v>Net Income</v>
      </c>
      <c r="E31" t="s">
        <v>126</v>
      </c>
      <c r="I31" s="70">
        <f>I25-I29</f>
        <v>48.099999999999994</v>
      </c>
      <c r="J31" s="70">
        <f t="shared" ref="J31:P31" si="42">J25-J29</f>
        <v>45.500000000000014</v>
      </c>
      <c r="K31" s="70">
        <f t="shared" si="42"/>
        <v>43.100000000000009</v>
      </c>
      <c r="L31" s="70">
        <f t="shared" si="42"/>
        <v>46.074749711538431</v>
      </c>
      <c r="M31" s="70">
        <f t="shared" si="42"/>
        <v>56.659287717102629</v>
      </c>
      <c r="N31" s="70">
        <f t="shared" si="42"/>
        <v>73.021244500407818</v>
      </c>
      <c r="O31" s="70">
        <f t="shared" si="42"/>
        <v>89.417688417801571</v>
      </c>
      <c r="P31" s="70">
        <f t="shared" si="42"/>
        <v>97.597577222180604</v>
      </c>
      <c r="R31" t="str">
        <f ca="1">IF($R$5=1,_xlfn.FORMULATEXT(P31),"")</f>
        <v/>
      </c>
    </row>
    <row r="33" spans="3:18">
      <c r="D33" t="str">
        <f>Historical!C35</f>
        <v>Preferred Dividend</v>
      </c>
      <c r="E33" t="s">
        <v>126</v>
      </c>
      <c r="I33" s="88">
        <f>Historical!G35</f>
        <v>0</v>
      </c>
      <c r="J33" s="88">
        <f>Historical!H35</f>
        <v>0</v>
      </c>
      <c r="K33" s="88">
        <f>Historical!I35</f>
        <v>0</v>
      </c>
      <c r="L33">
        <f>L318</f>
        <v>0</v>
      </c>
      <c r="M33">
        <f t="shared" ref="M33:P33" si="43">M318</f>
        <v>32</v>
      </c>
      <c r="N33">
        <f t="shared" si="43"/>
        <v>64</v>
      </c>
      <c r="O33">
        <f t="shared" si="43"/>
        <v>64</v>
      </c>
      <c r="P33">
        <f t="shared" si="43"/>
        <v>64</v>
      </c>
      <c r="R33" t="str">
        <f t="shared" ref="R33:R34" ca="1" si="44">IF($R$5=1,_xlfn.FORMULATEXT(P33),"")</f>
        <v/>
      </c>
    </row>
    <row r="34" spans="3:18" s="70" customFormat="1">
      <c r="D34" s="70" t="str">
        <f>Historical!C36</f>
        <v>Net Income to Common</v>
      </c>
      <c r="E34" t="s">
        <v>126</v>
      </c>
      <c r="I34" s="70">
        <f>I31-I33</f>
        <v>48.099999999999994</v>
      </c>
      <c r="J34" s="70">
        <f t="shared" ref="J34:K34" si="45">J31-J33</f>
        <v>45.500000000000014</v>
      </c>
      <c r="K34" s="70">
        <f t="shared" si="45"/>
        <v>43.100000000000009</v>
      </c>
      <c r="L34" s="70">
        <f t="shared" ref="L34" si="46">L31-L33</f>
        <v>46.074749711538431</v>
      </c>
      <c r="M34" s="70">
        <f t="shared" ref="M34" si="47">M31-M33</f>
        <v>24.659287717102629</v>
      </c>
      <c r="N34" s="70">
        <f t="shared" ref="N34" si="48">N31-N33</f>
        <v>9.0212445004078177</v>
      </c>
      <c r="O34" s="70">
        <f t="shared" ref="O34" si="49">O31-O33</f>
        <v>25.417688417801571</v>
      </c>
      <c r="P34" s="70">
        <f t="shared" ref="P34" si="50">P31-P33</f>
        <v>33.597577222180604</v>
      </c>
      <c r="R34" t="str">
        <f t="shared" ca="1" si="44"/>
        <v/>
      </c>
    </row>
    <row r="36" spans="3:18">
      <c r="C36" s="93"/>
      <c r="D36" s="94" t="s">
        <v>88</v>
      </c>
      <c r="E36" s="95" t="s">
        <v>87</v>
      </c>
      <c r="F36" s="95"/>
      <c r="G36" s="95"/>
      <c r="H36" s="95"/>
      <c r="I36" s="120">
        <f>I18/I11</f>
        <v>0.61939342161469457</v>
      </c>
      <c r="J36" s="120">
        <f t="shared" ref="J36:P36" si="51">J18/J11</f>
        <v>0.58291457286432169</v>
      </c>
      <c r="K36" s="120">
        <f t="shared" si="51"/>
        <v>0.56830405163140918</v>
      </c>
      <c r="L36" s="120">
        <f t="shared" si="51"/>
        <v>0.55851980111658228</v>
      </c>
      <c r="M36" s="120">
        <f t="shared" si="51"/>
        <v>0.57120454191323156</v>
      </c>
      <c r="N36" s="120">
        <f t="shared" si="51"/>
        <v>0.58239733314044051</v>
      </c>
      <c r="O36" s="120">
        <f t="shared" si="51"/>
        <v>0.59234677437999594</v>
      </c>
      <c r="P36" s="121">
        <f t="shared" si="51"/>
        <v>0.59542211210242546</v>
      </c>
      <c r="R36" t="str">
        <f ca="1">IF($R$5=1,_xlfn.FORMULATEXT(P36),"")</f>
        <v/>
      </c>
    </row>
    <row r="37" spans="3:18">
      <c r="C37" s="97" t="s">
        <v>92</v>
      </c>
      <c r="D37" s="98"/>
      <c r="E37" s="98"/>
      <c r="F37" s="98"/>
      <c r="G37" s="98"/>
      <c r="H37" s="98"/>
      <c r="I37" s="101"/>
      <c r="J37" s="101"/>
      <c r="K37" s="101"/>
      <c r="L37" s="101"/>
      <c r="M37" s="101"/>
      <c r="N37" s="101"/>
      <c r="O37" s="101"/>
      <c r="P37" s="122"/>
    </row>
    <row r="38" spans="3:18">
      <c r="C38" s="100"/>
      <c r="D38" s="101" t="s">
        <v>93</v>
      </c>
      <c r="E38" s="98" t="s">
        <v>87</v>
      </c>
      <c r="F38" s="98"/>
      <c r="G38" s="98"/>
      <c r="H38" s="98"/>
      <c r="I38" s="123">
        <f t="shared" ref="I38:P38" si="52">I34/I111</f>
        <v>2.6125685731356253E-2</v>
      </c>
      <c r="J38" s="123">
        <f t="shared" si="52"/>
        <v>2.4274434485702098E-2</v>
      </c>
      <c r="K38" s="123">
        <f t="shared" si="52"/>
        <v>2.2659166184743181E-2</v>
      </c>
      <c r="L38" s="123">
        <f t="shared" si="52"/>
        <v>2.389150757282155E-2</v>
      </c>
      <c r="M38" s="123">
        <f t="shared" si="52"/>
        <v>1.054726254367074E-2</v>
      </c>
      <c r="N38" s="123">
        <f t="shared" si="52"/>
        <v>3.2863001609537107E-3</v>
      </c>
      <c r="O38" s="123">
        <f t="shared" si="52"/>
        <v>9.1920335465576503E-3</v>
      </c>
      <c r="P38" s="124">
        <f t="shared" si="52"/>
        <v>1.2034685472874264E-2</v>
      </c>
      <c r="R38" t="str">
        <f t="shared" ref="R38:R41" ca="1" si="53">IF($R$5=1,_xlfn.FORMULATEXT(P38),"")</f>
        <v/>
      </c>
    </row>
    <row r="39" spans="3:18">
      <c r="C39" s="100"/>
      <c r="D39" s="101" t="s">
        <v>94</v>
      </c>
      <c r="E39" s="98" t="s">
        <v>87</v>
      </c>
      <c r="F39" s="98"/>
      <c r="G39" s="98"/>
      <c r="H39" s="98"/>
      <c r="I39" s="123">
        <f>I31/I11</f>
        <v>0.20546774882528832</v>
      </c>
      <c r="J39" s="123">
        <f t="shared" ref="J39:P39" si="54">J31/J11</f>
        <v>0.17587939698492469</v>
      </c>
      <c r="K39" s="123">
        <f t="shared" si="54"/>
        <v>0.15453567586948733</v>
      </c>
      <c r="L39" s="123">
        <f t="shared" si="54"/>
        <v>0.14970034681383138</v>
      </c>
      <c r="M39" s="123">
        <f t="shared" si="54"/>
        <v>0.16756089456147055</v>
      </c>
      <c r="N39" s="123">
        <f t="shared" si="54"/>
        <v>0.19732922432804109</v>
      </c>
      <c r="O39" s="123">
        <f t="shared" si="54"/>
        <v>0.22156993846761772</v>
      </c>
      <c r="P39" s="124">
        <f t="shared" si="54"/>
        <v>0.23052718358834831</v>
      </c>
      <c r="R39" t="str">
        <f t="shared" ca="1" si="53"/>
        <v/>
      </c>
    </row>
    <row r="40" spans="3:18">
      <c r="C40" s="100"/>
      <c r="D40" s="101" t="s">
        <v>95</v>
      </c>
      <c r="E40" s="98" t="s">
        <v>96</v>
      </c>
      <c r="F40" s="98"/>
      <c r="G40" s="98"/>
      <c r="H40" s="98"/>
      <c r="I40" s="125">
        <f t="shared" ref="I40:P40" si="55">I11/I90</f>
        <v>8.9157177133716722E-2</v>
      </c>
      <c r="J40" s="125">
        <f t="shared" si="55"/>
        <v>9.4967145112147142E-2</v>
      </c>
      <c r="K40" s="125">
        <f t="shared" si="55"/>
        <v>9.9182076813655776E-2</v>
      </c>
      <c r="L40" s="125">
        <f t="shared" si="55"/>
        <v>0.11417626563966249</v>
      </c>
      <c r="M40" s="125">
        <f t="shared" si="55"/>
        <v>0.11719452047501751</v>
      </c>
      <c r="N40" s="125">
        <f t="shared" si="55"/>
        <v>0.11892624425152019</v>
      </c>
      <c r="O40" s="125">
        <f t="shared" si="55"/>
        <v>0.13676313561678077</v>
      </c>
      <c r="P40" s="126">
        <f t="shared" si="55"/>
        <v>0.14357879227019593</v>
      </c>
      <c r="R40" t="str">
        <f t="shared" ca="1" si="53"/>
        <v/>
      </c>
    </row>
    <row r="41" spans="3:18">
      <c r="C41" s="103"/>
      <c r="D41" s="104" t="s">
        <v>97</v>
      </c>
      <c r="E41" s="105" t="s">
        <v>96</v>
      </c>
      <c r="F41" s="105"/>
      <c r="G41" s="105"/>
      <c r="H41" s="105"/>
      <c r="I41" s="127">
        <f>I90/I111</f>
        <v>1.4261582749443267</v>
      </c>
      <c r="J41" s="127">
        <f t="shared" ref="J41:P41" si="56">J90/J111</f>
        <v>1.4533183952198032</v>
      </c>
      <c r="K41" s="127">
        <f t="shared" si="56"/>
        <v>1.4783660165080696</v>
      </c>
      <c r="L41" s="127">
        <f t="shared" si="56"/>
        <v>1.3977996069225316</v>
      </c>
      <c r="M41" s="127">
        <f t="shared" si="56"/>
        <v>1.2341000295568985</v>
      </c>
      <c r="N41" s="127">
        <f t="shared" si="56"/>
        <v>1.1334983500181792</v>
      </c>
      <c r="O41" s="127">
        <f t="shared" si="56"/>
        <v>1.0671343533519035</v>
      </c>
      <c r="P41" s="128">
        <f t="shared" si="56"/>
        <v>1.0562175517705032</v>
      </c>
      <c r="R41" t="str">
        <f t="shared" ca="1" si="53"/>
        <v/>
      </c>
    </row>
    <row r="44" spans="3:18" ht="13.25" thickBot="1">
      <c r="C44" s="85" t="s">
        <v>188</v>
      </c>
      <c r="D44" s="85"/>
      <c r="E44" s="85"/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</row>
    <row r="46" spans="3:18">
      <c r="C46" s="70" t="str">
        <f>Historical!B48</f>
        <v>Operating Activities</v>
      </c>
    </row>
    <row r="47" spans="3:18">
      <c r="D47" t="str">
        <f>Historical!C49</f>
        <v>Net Income</v>
      </c>
      <c r="E47" t="s">
        <v>126</v>
      </c>
      <c r="I47" s="88">
        <f>I31</f>
        <v>48.099999999999994</v>
      </c>
      <c r="J47" s="88">
        <f t="shared" ref="J47:P47" si="57">J31</f>
        <v>45.500000000000014</v>
      </c>
      <c r="K47" s="88">
        <f t="shared" si="57"/>
        <v>43.100000000000009</v>
      </c>
      <c r="L47">
        <f t="shared" si="57"/>
        <v>46.074749711538431</v>
      </c>
      <c r="M47">
        <f t="shared" si="57"/>
        <v>56.659287717102629</v>
      </c>
      <c r="N47">
        <f t="shared" si="57"/>
        <v>73.021244500407818</v>
      </c>
      <c r="O47">
        <f t="shared" si="57"/>
        <v>89.417688417801571</v>
      </c>
      <c r="P47">
        <f t="shared" si="57"/>
        <v>97.597577222180604</v>
      </c>
      <c r="R47" t="str">
        <f t="shared" ref="R47:R52" ca="1" si="58">IF($R$5=1,_xlfn.FORMULATEXT(P47),"")</f>
        <v/>
      </c>
    </row>
    <row r="48" spans="3:18">
      <c r="D48" t="str">
        <f>Historical!C50</f>
        <v>Depreciation</v>
      </c>
      <c r="E48" t="s">
        <v>126</v>
      </c>
      <c r="I48" s="88">
        <f>Historical!G50</f>
        <v>41.7</v>
      </c>
      <c r="J48" s="88">
        <f>Historical!H50</f>
        <v>46.2</v>
      </c>
      <c r="K48" s="88">
        <f>Historical!I50</f>
        <v>54.6</v>
      </c>
      <c r="L48">
        <f>L20</f>
        <v>57.843999999999994</v>
      </c>
      <c r="M48">
        <f t="shared" ref="M48:P48" si="59">M20</f>
        <v>70.127119999999991</v>
      </c>
      <c r="N48">
        <f t="shared" si="59"/>
        <v>81.600577600000008</v>
      </c>
      <c r="O48">
        <f t="shared" si="59"/>
        <v>92.346966047999999</v>
      </c>
      <c r="P48">
        <f t="shared" si="59"/>
        <v>101.94058672704</v>
      </c>
      <c r="R48" t="str">
        <f t="shared" ca="1" si="58"/>
        <v/>
      </c>
    </row>
    <row r="49" spans="3:18">
      <c r="D49" t="str">
        <f>Historical!C51</f>
        <v>Deferred Income Taxes</v>
      </c>
      <c r="E49" t="s">
        <v>126</v>
      </c>
      <c r="I49" s="88">
        <f>Historical!G51</f>
        <v>10.399999999999999</v>
      </c>
      <c r="J49" s="88">
        <f>Historical!H51</f>
        <v>11.8</v>
      </c>
      <c r="K49" s="88">
        <f>Historical!I51</f>
        <v>8.3999999999999986</v>
      </c>
      <c r="L49">
        <f>L28</f>
        <v>1.625</v>
      </c>
      <c r="M49">
        <f t="shared" ref="M49:P49" si="60">M28</f>
        <v>1.625</v>
      </c>
      <c r="N49">
        <f t="shared" si="60"/>
        <v>1.625</v>
      </c>
      <c r="O49">
        <f t="shared" si="60"/>
        <v>1.625</v>
      </c>
      <c r="P49">
        <f t="shared" si="60"/>
        <v>1.625</v>
      </c>
      <c r="R49" t="str">
        <f t="shared" ca="1" si="58"/>
        <v/>
      </c>
    </row>
    <row r="50" spans="3:18">
      <c r="D50" t="str">
        <f>Historical!C52</f>
        <v>Changes in Working Capital</v>
      </c>
      <c r="E50" t="s">
        <v>126</v>
      </c>
      <c r="I50" s="88">
        <f>Historical!G52</f>
        <v>2.4</v>
      </c>
      <c r="J50" s="88">
        <f>Historical!H52</f>
        <v>6.7000000000000011</v>
      </c>
      <c r="K50" s="88">
        <f>Historical!I52</f>
        <v>-3.3000000000000007</v>
      </c>
      <c r="L50">
        <f>L280</f>
        <v>1.4430436560590145</v>
      </c>
      <c r="M50">
        <f t="shared" ref="M50:P50" si="61">M280</f>
        <v>-6.4093151712636853E-2</v>
      </c>
      <c r="N50">
        <f t="shared" si="61"/>
        <v>-4.1530800547086244E-2</v>
      </c>
      <c r="O50">
        <f t="shared" si="61"/>
        <v>-6.5259344006580733E-2</v>
      </c>
      <c r="P50">
        <f t="shared" si="61"/>
        <v>8.4723679735716928E-2</v>
      </c>
      <c r="R50" t="str">
        <f t="shared" ca="1" si="58"/>
        <v/>
      </c>
    </row>
    <row r="51" spans="3:18">
      <c r="D51" t="str">
        <f>Historical!C53</f>
        <v>Other</v>
      </c>
      <c r="E51" t="s">
        <v>126</v>
      </c>
      <c r="I51" s="88">
        <f>Historical!G53</f>
        <v>0.4</v>
      </c>
      <c r="J51" s="88">
        <f>Historical!H53</f>
        <v>-0.4</v>
      </c>
      <c r="K51" s="88">
        <f>Historical!I53</f>
        <v>-0.3</v>
      </c>
      <c r="L51">
        <f>Assumptions!L116</f>
        <v>0</v>
      </c>
      <c r="M51">
        <f>Assumptions!M116</f>
        <v>0</v>
      </c>
      <c r="N51">
        <f>Assumptions!N116</f>
        <v>0</v>
      </c>
      <c r="O51">
        <f>Assumptions!O116</f>
        <v>0</v>
      </c>
      <c r="P51">
        <f>Assumptions!P116</f>
        <v>0</v>
      </c>
      <c r="R51" t="str">
        <f t="shared" ca="1" si="58"/>
        <v/>
      </c>
    </row>
    <row r="52" spans="3:18" s="70" customFormat="1">
      <c r="D52" s="70" t="str">
        <f>Historical!C54</f>
        <v>Operating Cash Flow</v>
      </c>
      <c r="E52" t="s">
        <v>126</v>
      </c>
      <c r="I52" s="70">
        <f t="shared" ref="I52:K52" si="62">SUM(I47:I51)</f>
        <v>103</v>
      </c>
      <c r="J52" s="70">
        <f t="shared" si="62"/>
        <v>109.80000000000001</v>
      </c>
      <c r="K52" s="70">
        <f t="shared" si="62"/>
        <v>102.50000000000003</v>
      </c>
      <c r="L52" s="70">
        <f t="shared" ref="L52" si="63">SUM(L47:L51)</f>
        <v>106.98679336759744</v>
      </c>
      <c r="M52" s="70">
        <f t="shared" ref="M52" si="64">SUM(M47:M51)</f>
        <v>128.34731456539001</v>
      </c>
      <c r="N52" s="70">
        <f t="shared" ref="N52" si="65">SUM(N47:N51)</f>
        <v>156.20529129986073</v>
      </c>
      <c r="O52" s="70">
        <f t="shared" ref="O52" si="66">SUM(O47:O51)</f>
        <v>183.32439512179499</v>
      </c>
      <c r="P52" s="70">
        <f t="shared" ref="P52" si="67">SUM(P47:P51)</f>
        <v>201.24788762895633</v>
      </c>
      <c r="R52" t="str">
        <f t="shared" ca="1" si="58"/>
        <v/>
      </c>
    </row>
    <row r="54" spans="3:18">
      <c r="C54" s="70" t="str">
        <f>Historical!B57</f>
        <v>Investing Activities</v>
      </c>
    </row>
    <row r="55" spans="3:18">
      <c r="D55" t="str">
        <f>Historical!C58</f>
        <v>CAPEX</v>
      </c>
      <c r="E55" t="s">
        <v>126</v>
      </c>
      <c r="I55" s="88">
        <f>Historical!G58</f>
        <v>-121.1</v>
      </c>
      <c r="J55" s="88">
        <f>Historical!H58</f>
        <v>-159.69999999999999</v>
      </c>
      <c r="K55" s="88">
        <f>Historical!I58</f>
        <v>-151.19999999999999</v>
      </c>
      <c r="L55">
        <f>-L245</f>
        <v>-140</v>
      </c>
      <c r="M55">
        <f t="shared" ref="M55:P55" si="68">-M245</f>
        <v>-140</v>
      </c>
      <c r="N55">
        <f t="shared" si="68"/>
        <v>-150</v>
      </c>
      <c r="O55">
        <f t="shared" si="68"/>
        <v>-150</v>
      </c>
      <c r="P55">
        <f t="shared" si="68"/>
        <v>-150</v>
      </c>
      <c r="R55" t="str">
        <f t="shared" ref="R55:R58" ca="1" si="69">IF($R$5=1,_xlfn.FORMULATEXT(P55),"")</f>
        <v/>
      </c>
    </row>
    <row r="56" spans="3:18">
      <c r="D56" t="str">
        <f>Historical!C59</f>
        <v>Asset Dispositions</v>
      </c>
      <c r="E56" t="s">
        <v>126</v>
      </c>
      <c r="I56" s="88">
        <f>Historical!G59</f>
        <v>23.4</v>
      </c>
      <c r="J56" s="88">
        <f>Historical!H59</f>
        <v>13.8</v>
      </c>
      <c r="K56" s="88">
        <f>Historical!I59</f>
        <v>5.8</v>
      </c>
      <c r="L56">
        <f>Assumptions!L118</f>
        <v>0</v>
      </c>
      <c r="M56">
        <f>Assumptions!M118</f>
        <v>0</v>
      </c>
      <c r="N56">
        <f>Assumptions!N118</f>
        <v>0</v>
      </c>
      <c r="O56">
        <f>Assumptions!O118</f>
        <v>0</v>
      </c>
      <c r="P56">
        <f>Assumptions!P118</f>
        <v>0</v>
      </c>
      <c r="R56" t="str">
        <f t="shared" ca="1" si="69"/>
        <v/>
      </c>
    </row>
    <row r="57" spans="3:18">
      <c r="D57" t="str">
        <f>Historical!C60</f>
        <v>Other</v>
      </c>
      <c r="E57" t="s">
        <v>126</v>
      </c>
      <c r="I57" s="88">
        <f>Historical!G60</f>
        <v>2.5</v>
      </c>
      <c r="J57" s="88">
        <f>Historical!H60</f>
        <v>2.6</v>
      </c>
      <c r="K57" s="88">
        <f>Historical!I60</f>
        <v>0.8</v>
      </c>
      <c r="L57">
        <f>Assumptions!L117</f>
        <v>0</v>
      </c>
      <c r="M57">
        <f>Assumptions!M117</f>
        <v>0</v>
      </c>
      <c r="N57">
        <f>Assumptions!N117</f>
        <v>0</v>
      </c>
      <c r="O57">
        <f>Assumptions!O117</f>
        <v>0</v>
      </c>
      <c r="P57">
        <f>Assumptions!P117</f>
        <v>0</v>
      </c>
      <c r="R57" t="str">
        <f t="shared" ca="1" si="69"/>
        <v/>
      </c>
    </row>
    <row r="58" spans="3:18" s="70" customFormat="1">
      <c r="D58" s="70" t="str">
        <f>Historical!C61</f>
        <v>Investing Cash Flow</v>
      </c>
      <c r="E58" t="s">
        <v>126</v>
      </c>
      <c r="I58" s="70">
        <f t="shared" ref="I58:L58" si="70">SUM(I55:I57)</f>
        <v>-95.199999999999989</v>
      </c>
      <c r="J58" s="70">
        <f t="shared" si="70"/>
        <v>-143.29999999999998</v>
      </c>
      <c r="K58" s="70">
        <f t="shared" si="70"/>
        <v>-144.59999999999997</v>
      </c>
      <c r="L58" s="70">
        <f t="shared" si="70"/>
        <v>-140</v>
      </c>
      <c r="M58" s="70">
        <f t="shared" ref="M58" si="71">SUM(M55:M57)</f>
        <v>-140</v>
      </c>
      <c r="N58" s="70">
        <f t="shared" ref="N58" si="72">SUM(N55:N57)</f>
        <v>-150</v>
      </c>
      <c r="O58" s="70">
        <f t="shared" ref="O58" si="73">SUM(O55:O57)</f>
        <v>-150</v>
      </c>
      <c r="P58" s="70">
        <f t="shared" ref="P58" si="74">SUM(P55:P57)</f>
        <v>-150</v>
      </c>
      <c r="R58" t="str">
        <f t="shared" ca="1" si="69"/>
        <v/>
      </c>
    </row>
    <row r="60" spans="3:18">
      <c r="C60" s="70" t="str">
        <f>Historical!B64</f>
        <v>Financing Activities</v>
      </c>
    </row>
    <row r="61" spans="3:18">
      <c r="D61" t="str">
        <f>Historical!C65</f>
        <v>Revolver Issuance / (Repayment)</v>
      </c>
      <c r="E61" t="s">
        <v>126</v>
      </c>
      <c r="I61" s="88">
        <f>Historical!G65</f>
        <v>0</v>
      </c>
      <c r="J61" s="88">
        <f>Historical!H65</f>
        <v>0</v>
      </c>
      <c r="K61" s="88">
        <f>Historical!I65</f>
        <v>0</v>
      </c>
      <c r="L61">
        <f>L373</f>
        <v>38.688904071825533</v>
      </c>
      <c r="M61">
        <f t="shared" ref="M61:P61" si="75">M373</f>
        <v>-38.688904071825533</v>
      </c>
      <c r="N61">
        <f t="shared" si="75"/>
        <v>0</v>
      </c>
      <c r="O61">
        <f t="shared" si="75"/>
        <v>0</v>
      </c>
      <c r="P61">
        <f t="shared" si="75"/>
        <v>75.33013300589694</v>
      </c>
      <c r="R61" t="str">
        <f t="shared" ref="R61:R69" ca="1" si="76">IF($R$5=1,_xlfn.FORMULATEXT(P61),"")</f>
        <v/>
      </c>
    </row>
    <row r="62" spans="3:18">
      <c r="D62" t="str">
        <f>Historical!C66</f>
        <v>Variable Rate Long Term Debt Issuance / (Repayment)</v>
      </c>
      <c r="E62" t="s">
        <v>126</v>
      </c>
      <c r="I62" s="88">
        <f>Historical!G66</f>
        <v>-26</v>
      </c>
      <c r="J62" s="88">
        <f>Historical!H66</f>
        <v>20</v>
      </c>
      <c r="K62" s="88">
        <f>Historical!I66</f>
        <v>25</v>
      </c>
      <c r="L62">
        <f>-L343</f>
        <v>-135</v>
      </c>
      <c r="M62">
        <f t="shared" ref="M62:P62" si="77">-M343</f>
        <v>-135</v>
      </c>
      <c r="N62">
        <f t="shared" si="77"/>
        <v>-135</v>
      </c>
      <c r="O62">
        <f t="shared" si="77"/>
        <v>-135</v>
      </c>
      <c r="P62">
        <f t="shared" si="77"/>
        <v>-82.700000000000045</v>
      </c>
      <c r="R62" t="str">
        <f t="shared" ca="1" si="76"/>
        <v/>
      </c>
    </row>
    <row r="63" spans="3:18">
      <c r="D63" t="str">
        <f>Historical!C67</f>
        <v>Fixed Rate Long Term Debt Issuance / (Repayment)</v>
      </c>
      <c r="E63" t="s">
        <v>126</v>
      </c>
      <c r="I63" s="88">
        <f>Historical!G67</f>
        <v>5</v>
      </c>
      <c r="J63" s="88">
        <f>Historical!H67</f>
        <v>25</v>
      </c>
      <c r="K63" s="88">
        <f>Historical!I67</f>
        <v>25</v>
      </c>
      <c r="L63">
        <f>-L333</f>
        <v>-50</v>
      </c>
      <c r="M63">
        <f t="shared" ref="M63:P63" si="78">-M333</f>
        <v>-50</v>
      </c>
      <c r="N63">
        <f t="shared" si="78"/>
        <v>-50</v>
      </c>
      <c r="O63">
        <f t="shared" si="78"/>
        <v>-50</v>
      </c>
      <c r="P63">
        <f t="shared" si="78"/>
        <v>-24.599999999999994</v>
      </c>
      <c r="R63" t="str">
        <f t="shared" ca="1" si="76"/>
        <v/>
      </c>
    </row>
    <row r="64" spans="3:18">
      <c r="D64" t="str">
        <f>Historical!C68</f>
        <v>Preferred Share Issuance / (Buy-Back)</v>
      </c>
      <c r="E64" t="s">
        <v>126</v>
      </c>
      <c r="I64" s="88">
        <f>Historical!G68</f>
        <v>0</v>
      </c>
      <c r="J64" s="88">
        <f>Historical!H68</f>
        <v>0</v>
      </c>
      <c r="K64" s="88">
        <f>Historical!I68</f>
        <v>0</v>
      </c>
      <c r="L64">
        <f>L315</f>
        <v>0</v>
      </c>
      <c r="M64">
        <f t="shared" ref="M64:P64" si="79">M315</f>
        <v>400</v>
      </c>
      <c r="N64">
        <f t="shared" si="79"/>
        <v>400</v>
      </c>
      <c r="O64">
        <f t="shared" si="79"/>
        <v>0</v>
      </c>
      <c r="P64">
        <f t="shared" si="79"/>
        <v>0</v>
      </c>
      <c r="R64" t="str">
        <f t="shared" ca="1" si="76"/>
        <v/>
      </c>
    </row>
    <row r="65" spans="3:18">
      <c r="D65" t="str">
        <f>Historical!C69</f>
        <v>Common Share Issuance / (Buy-Back)</v>
      </c>
      <c r="E65" t="s">
        <v>126</v>
      </c>
      <c r="I65" s="88">
        <f>Historical!G69</f>
        <v>-5</v>
      </c>
      <c r="J65" s="88">
        <f>Historical!H69</f>
        <v>-4</v>
      </c>
      <c r="K65" s="88">
        <f>Historical!I69</f>
        <v>-6</v>
      </c>
      <c r="L65">
        <f>L307</f>
        <v>-10</v>
      </c>
      <c r="M65">
        <f t="shared" ref="M65:P65" si="80">M307</f>
        <v>-10</v>
      </c>
      <c r="N65">
        <f t="shared" si="80"/>
        <v>0</v>
      </c>
      <c r="O65">
        <f t="shared" si="80"/>
        <v>0</v>
      </c>
      <c r="P65">
        <f t="shared" si="80"/>
        <v>0</v>
      </c>
      <c r="R65" t="str">
        <f t="shared" ca="1" si="76"/>
        <v/>
      </c>
    </row>
    <row r="66" spans="3:18">
      <c r="D66" t="str">
        <f>Historical!C70</f>
        <v>Preferred Share Dividends</v>
      </c>
      <c r="E66" t="s">
        <v>126</v>
      </c>
      <c r="I66" s="88">
        <f>Historical!G70</f>
        <v>0</v>
      </c>
      <c r="J66" s="88">
        <f>Historical!H70</f>
        <v>0</v>
      </c>
      <c r="K66" s="88">
        <f>Historical!I70</f>
        <v>0</v>
      </c>
      <c r="L66">
        <f>-L318</f>
        <v>0</v>
      </c>
      <c r="M66">
        <f t="shared" ref="M66:P66" si="81">-M318</f>
        <v>-32</v>
      </c>
      <c r="N66">
        <f t="shared" si="81"/>
        <v>-64</v>
      </c>
      <c r="O66">
        <f t="shared" si="81"/>
        <v>-64</v>
      </c>
      <c r="P66">
        <f t="shared" si="81"/>
        <v>-64</v>
      </c>
      <c r="R66" t="str">
        <f t="shared" ca="1" si="76"/>
        <v/>
      </c>
    </row>
    <row r="67" spans="3:18">
      <c r="D67" t="str">
        <f>Historical!C71</f>
        <v>Common Share Dividends</v>
      </c>
      <c r="E67" t="s">
        <v>126</v>
      </c>
      <c r="I67" s="88">
        <f>Historical!G71</f>
        <v>-7.2</v>
      </c>
      <c r="J67" s="88">
        <f>Historical!H71</f>
        <v>-9.6</v>
      </c>
      <c r="K67" s="88">
        <f>Historical!I71</f>
        <v>-9.1</v>
      </c>
      <c r="L67">
        <f>-L323</f>
        <v>-9.6756974394230699</v>
      </c>
      <c r="M67">
        <f t="shared" ref="M67:P67" si="82">-M323</f>
        <v>-5.1784504205915516</v>
      </c>
      <c r="N67">
        <f t="shared" si="82"/>
        <v>-1.8944613450856416</v>
      </c>
      <c r="O67">
        <f t="shared" si="82"/>
        <v>-5.3377145677383293</v>
      </c>
      <c r="P67">
        <f t="shared" si="82"/>
        <v>-7.0554912166579262</v>
      </c>
      <c r="R67" t="str">
        <f t="shared" ca="1" si="76"/>
        <v/>
      </c>
    </row>
    <row r="68" spans="3:18">
      <c r="D68" t="str">
        <f>Historical!C72</f>
        <v>Other</v>
      </c>
      <c r="E68" t="s">
        <v>126</v>
      </c>
      <c r="I68" s="88">
        <f>Historical!G72</f>
        <v>0.8</v>
      </c>
      <c r="J68" s="88">
        <f>Historical!H72</f>
        <v>0.6</v>
      </c>
      <c r="K68" s="88">
        <f>Historical!I72</f>
        <v>-0.5</v>
      </c>
      <c r="L68">
        <f>Assumptions!L122</f>
        <v>0</v>
      </c>
      <c r="M68">
        <f>Assumptions!M122</f>
        <v>0</v>
      </c>
      <c r="N68">
        <f>Assumptions!N122</f>
        <v>0</v>
      </c>
      <c r="O68">
        <f>Assumptions!O122</f>
        <v>0</v>
      </c>
      <c r="P68">
        <f>Assumptions!P122</f>
        <v>0</v>
      </c>
      <c r="R68" t="str">
        <f t="shared" ca="1" si="76"/>
        <v/>
      </c>
    </row>
    <row r="69" spans="3:18" s="70" customFormat="1">
      <c r="D69" s="70" t="str">
        <f>Historical!C73</f>
        <v>Financing Cash Flow</v>
      </c>
      <c r="E69" t="s">
        <v>126</v>
      </c>
      <c r="I69" s="70">
        <f t="shared" ref="I69:L69" si="83">SUM(I61:I68)</f>
        <v>-32.400000000000006</v>
      </c>
      <c r="J69" s="70">
        <f t="shared" si="83"/>
        <v>32</v>
      </c>
      <c r="K69" s="70">
        <f t="shared" si="83"/>
        <v>34.4</v>
      </c>
      <c r="L69" s="70">
        <f t="shared" si="83"/>
        <v>-165.98679336759753</v>
      </c>
      <c r="M69" s="70">
        <f t="shared" ref="M69" si="84">SUM(M61:M68)</f>
        <v>129.13264550758291</v>
      </c>
      <c r="N69" s="70">
        <f t="shared" ref="N69" si="85">SUM(N61:N68)</f>
        <v>149.10553865491437</v>
      </c>
      <c r="O69" s="70">
        <f t="shared" ref="O69" si="86">SUM(O61:O68)</f>
        <v>-254.33771456773832</v>
      </c>
      <c r="P69" s="70">
        <f t="shared" ref="P69" si="87">SUM(P61:P68)</f>
        <v>-103.02535821076103</v>
      </c>
      <c r="R69" t="str">
        <f t="shared" ca="1" si="76"/>
        <v/>
      </c>
    </row>
    <row r="71" spans="3:18">
      <c r="D71" t="str">
        <f>Historical!C75</f>
        <v>Change in Cash Position</v>
      </c>
      <c r="E71" t="s">
        <v>126</v>
      </c>
      <c r="I71">
        <f>I69+I58+I52</f>
        <v>-24.599999999999994</v>
      </c>
      <c r="J71">
        <f t="shared" ref="J71:K71" si="88">J69+J58+J52</f>
        <v>-1.4999999999999716</v>
      </c>
      <c r="K71">
        <f t="shared" si="88"/>
        <v>-7.6999999999999318</v>
      </c>
      <c r="L71">
        <f t="shared" ref="L71:P71" si="89">L69+L58+L52</f>
        <v>-199.00000000000011</v>
      </c>
      <c r="M71">
        <f t="shared" si="89"/>
        <v>117.47996007297291</v>
      </c>
      <c r="N71">
        <f t="shared" si="89"/>
        <v>155.3108299547751</v>
      </c>
      <c r="O71">
        <f t="shared" si="89"/>
        <v>-221.01331944594332</v>
      </c>
      <c r="P71">
        <f t="shared" si="89"/>
        <v>-51.777470581804693</v>
      </c>
      <c r="R71" t="str">
        <f t="shared" ref="R71:R73" ca="1" si="90">IF($R$5=1,_xlfn.FORMULATEXT(P71),"")</f>
        <v/>
      </c>
    </row>
    <row r="72" spans="3:18">
      <c r="D72" t="str">
        <f>Historical!C76</f>
        <v>Beginning Cash</v>
      </c>
      <c r="E72" t="s">
        <v>126</v>
      </c>
      <c r="I72" s="88">
        <f>Historical!G76</f>
        <v>232.79999999999998</v>
      </c>
      <c r="J72">
        <f>I73</f>
        <v>208.2</v>
      </c>
      <c r="K72">
        <f>J73</f>
        <v>206.70000000000002</v>
      </c>
      <c r="L72">
        <f t="shared" ref="L72:P72" si="91">K73</f>
        <v>199.00000000000009</v>
      </c>
      <c r="M72">
        <f t="shared" si="91"/>
        <v>0</v>
      </c>
      <c r="N72">
        <f t="shared" si="91"/>
        <v>117.47996007297291</v>
      </c>
      <c r="O72">
        <f t="shared" si="91"/>
        <v>272.79079002774802</v>
      </c>
      <c r="P72">
        <f t="shared" si="91"/>
        <v>51.777470581804693</v>
      </c>
      <c r="R72" t="str">
        <f t="shared" ca="1" si="90"/>
        <v/>
      </c>
    </row>
    <row r="73" spans="3:18" s="70" customFormat="1">
      <c r="D73" s="70" t="str">
        <f>Historical!C77</f>
        <v>Ending Cash</v>
      </c>
      <c r="E73" t="s">
        <v>126</v>
      </c>
      <c r="I73" s="70">
        <f>SUM(I71:I72)</f>
        <v>208.2</v>
      </c>
      <c r="J73" s="70">
        <f t="shared" ref="J73:K73" si="92">SUM(J71:J72)</f>
        <v>206.70000000000002</v>
      </c>
      <c r="K73" s="70">
        <f t="shared" si="92"/>
        <v>199.00000000000009</v>
      </c>
      <c r="L73" s="70">
        <f t="shared" ref="L73" si="93">SUM(L71:L72)</f>
        <v>0</v>
      </c>
      <c r="M73" s="70">
        <f t="shared" ref="M73" si="94">SUM(M71:M72)</f>
        <v>117.47996007297291</v>
      </c>
      <c r="N73" s="70">
        <f t="shared" ref="N73" si="95">SUM(N71:N72)</f>
        <v>272.79079002774802</v>
      </c>
      <c r="O73" s="70">
        <f t="shared" ref="O73" si="96">SUM(O71:O72)</f>
        <v>51.777470581804693</v>
      </c>
      <c r="P73" s="70">
        <f t="shared" ref="P73" si="97">SUM(P71:P72)</f>
        <v>0</v>
      </c>
      <c r="R73" t="str">
        <f t="shared" ca="1" si="90"/>
        <v/>
      </c>
    </row>
    <row r="75" spans="3:18" ht="13.25" thickBot="1">
      <c r="C75" s="85" t="s">
        <v>43</v>
      </c>
      <c r="D75" s="85"/>
      <c r="E75" s="85"/>
      <c r="F75" s="85"/>
      <c r="G75" s="85"/>
      <c r="H75" s="85"/>
      <c r="I75" s="85"/>
      <c r="J75" s="85"/>
      <c r="K75" s="85"/>
      <c r="L75" s="85"/>
      <c r="M75" s="85"/>
      <c r="N75" s="85"/>
      <c r="O75" s="85"/>
      <c r="P75" s="85"/>
    </row>
    <row r="77" spans="3:18">
      <c r="C77" s="70" t="str">
        <f>Historical!B86</f>
        <v>ASSETS</v>
      </c>
    </row>
    <row r="78" spans="3:18">
      <c r="D78" t="str">
        <f>Historical!C87</f>
        <v>Cash and Equivalents</v>
      </c>
      <c r="E78" t="s">
        <v>126</v>
      </c>
      <c r="I78">
        <f>I73</f>
        <v>208.2</v>
      </c>
      <c r="J78">
        <f t="shared" ref="J78:P78" si="98">J73</f>
        <v>206.70000000000002</v>
      </c>
      <c r="K78">
        <f t="shared" si="98"/>
        <v>199.00000000000009</v>
      </c>
      <c r="L78">
        <f t="shared" si="98"/>
        <v>0</v>
      </c>
      <c r="M78">
        <f t="shared" si="98"/>
        <v>117.47996007297291</v>
      </c>
      <c r="N78">
        <f t="shared" si="98"/>
        <v>272.79079002774802</v>
      </c>
      <c r="O78">
        <f t="shared" si="98"/>
        <v>51.777470581804693</v>
      </c>
      <c r="P78">
        <f t="shared" si="98"/>
        <v>0</v>
      </c>
      <c r="R78" t="str">
        <f t="shared" ref="R78:R82" ca="1" si="99">IF($R$5=1,_xlfn.FORMULATEXT(P78),"")</f>
        <v/>
      </c>
    </row>
    <row r="79" spans="3:18">
      <c r="D79" t="str">
        <f>Historical!C88</f>
        <v>Accounts Receivable</v>
      </c>
      <c r="E79" t="s">
        <v>126</v>
      </c>
      <c r="I79" s="88">
        <f>Historical!G88</f>
        <v>16</v>
      </c>
      <c r="J79" s="88">
        <f>Historical!H88</f>
        <v>15.1</v>
      </c>
      <c r="K79" s="88">
        <f>Historical!I88</f>
        <v>20.2</v>
      </c>
      <c r="L79">
        <f>L269</f>
        <v>20.448387038988407</v>
      </c>
      <c r="M79">
        <f t="shared" ref="M79:P79" si="100">M269</f>
        <v>22.404182300861702</v>
      </c>
      <c r="N79">
        <f t="shared" si="100"/>
        <v>24.58536725213909</v>
      </c>
      <c r="O79">
        <f t="shared" si="100"/>
        <v>26.812140092578552</v>
      </c>
      <c r="P79">
        <f t="shared" si="100"/>
        <v>28.127800354543091</v>
      </c>
      <c r="R79" t="str">
        <f t="shared" ca="1" si="99"/>
        <v/>
      </c>
    </row>
    <row r="80" spans="3:18">
      <c r="D80" t="str">
        <f>Historical!C89</f>
        <v>Inventory</v>
      </c>
      <c r="E80" t="s">
        <v>126</v>
      </c>
      <c r="I80" s="88">
        <f>Historical!G89</f>
        <v>2.8</v>
      </c>
      <c r="J80" s="88">
        <f>Historical!H89</f>
        <v>3.6</v>
      </c>
      <c r="K80" s="88">
        <f>Historical!I89</f>
        <v>4.2</v>
      </c>
      <c r="L80">
        <f t="shared" ref="L80:P81" si="101">L270</f>
        <v>4.350090668914647</v>
      </c>
      <c r="M80">
        <f t="shared" si="101"/>
        <v>4.665484477477932</v>
      </c>
      <c r="N80">
        <f t="shared" si="101"/>
        <v>5.0222180604149207</v>
      </c>
      <c r="O80">
        <f t="shared" si="101"/>
        <v>5.3825961401555054</v>
      </c>
      <c r="P80">
        <f t="shared" si="101"/>
        <v>5.6160749857154979</v>
      </c>
      <c r="R80" t="str">
        <f t="shared" ca="1" si="99"/>
        <v/>
      </c>
    </row>
    <row r="81" spans="3:18">
      <c r="D81" t="str">
        <f>Historical!C90</f>
        <v>Other Current Assets</v>
      </c>
      <c r="E81" t="s">
        <v>126</v>
      </c>
      <c r="I81" s="88">
        <f>Historical!G90</f>
        <v>0.3</v>
      </c>
      <c r="J81" s="88">
        <f>Historical!H90</f>
        <v>0.2</v>
      </c>
      <c r="K81" s="88">
        <f>Historical!I90</f>
        <v>0.2</v>
      </c>
      <c r="L81">
        <f t="shared" si="101"/>
        <v>0.30073950853530035</v>
      </c>
      <c r="M81">
        <f t="shared" si="101"/>
        <v>0.32254396876418673</v>
      </c>
      <c r="N81">
        <f t="shared" si="101"/>
        <v>0.34720641618790304</v>
      </c>
      <c r="O81">
        <f t="shared" si="101"/>
        <v>0.37212082253868367</v>
      </c>
      <c r="P81">
        <f t="shared" si="101"/>
        <v>0.38826216730854352</v>
      </c>
      <c r="R81" t="str">
        <f t="shared" ca="1" si="99"/>
        <v/>
      </c>
    </row>
    <row r="82" spans="3:18" s="70" customFormat="1">
      <c r="D82" s="70" t="str">
        <f>Historical!C91</f>
        <v>Total Current Assets</v>
      </c>
      <c r="E82" t="s">
        <v>126</v>
      </c>
      <c r="I82" s="70">
        <f t="shared" ref="I82:K82" si="102">SUM(I78:I81)</f>
        <v>227.3</v>
      </c>
      <c r="J82" s="70">
        <f t="shared" si="102"/>
        <v>225.6</v>
      </c>
      <c r="K82" s="70">
        <f t="shared" si="102"/>
        <v>223.60000000000005</v>
      </c>
      <c r="L82" s="70">
        <f t="shared" ref="L82" si="103">SUM(L78:L81)</f>
        <v>25.099217216438355</v>
      </c>
      <c r="M82" s="70">
        <f t="shared" ref="M82" si="104">SUM(M78:M81)</f>
        <v>144.87217082007675</v>
      </c>
      <c r="N82" s="70">
        <f t="shared" ref="N82" si="105">SUM(N78:N81)</f>
        <v>302.74558175648991</v>
      </c>
      <c r="O82" s="70">
        <f t="shared" ref="O82" si="106">SUM(O78:O81)</f>
        <v>84.344327637077427</v>
      </c>
      <c r="P82" s="70">
        <f t="shared" ref="P82" si="107">SUM(P78:P81)</f>
        <v>34.132137507567137</v>
      </c>
      <c r="R82" t="str">
        <f t="shared" ca="1" si="99"/>
        <v/>
      </c>
    </row>
    <row r="84" spans="3:18">
      <c r="D84" t="str">
        <f>Historical!C93</f>
        <v>Net PP&amp;E</v>
      </c>
      <c r="E84" t="s">
        <v>126</v>
      </c>
      <c r="I84" s="88">
        <f>Historical!G93</f>
        <v>2332.1</v>
      </c>
      <c r="J84" s="88">
        <f>Historical!H93</f>
        <v>2445.6</v>
      </c>
      <c r="K84" s="88">
        <f>Historical!I93</f>
        <v>2542.1999999999998</v>
      </c>
      <c r="L84">
        <f>L247</f>
        <v>2624.3559999999998</v>
      </c>
      <c r="M84">
        <f t="shared" ref="M84:P84" si="108">M247</f>
        <v>2694.2288799999997</v>
      </c>
      <c r="N84">
        <f t="shared" si="108"/>
        <v>2762.6283023999995</v>
      </c>
      <c r="O84">
        <f t="shared" si="108"/>
        <v>2820.2813363519995</v>
      </c>
      <c r="P84">
        <f t="shared" si="108"/>
        <v>2868.3407496249592</v>
      </c>
      <c r="R84" t="str">
        <f t="shared" ref="R84:R88" ca="1" si="109">IF($R$5=1,_xlfn.FORMULATEXT(P84),"")</f>
        <v/>
      </c>
    </row>
    <row r="85" spans="3:18">
      <c r="D85" t="str">
        <f>Historical!C94</f>
        <v>Goodwill</v>
      </c>
      <c r="E85" t="s">
        <v>126</v>
      </c>
      <c r="I85" s="88">
        <f>Historical!G94</f>
        <v>46.6</v>
      </c>
      <c r="J85" s="88">
        <f>Historical!H94</f>
        <v>34.700000000000003</v>
      </c>
      <c r="K85" s="88">
        <f>Historical!I94</f>
        <v>31</v>
      </c>
      <c r="L85">
        <f>K85+Assumptions!L120</f>
        <v>31</v>
      </c>
      <c r="M85">
        <f>L85+Assumptions!M120</f>
        <v>31</v>
      </c>
      <c r="N85">
        <f>M85+Assumptions!N120</f>
        <v>31</v>
      </c>
      <c r="O85">
        <f>N85+Assumptions!O120</f>
        <v>31</v>
      </c>
      <c r="P85">
        <f>O85+Assumptions!P120</f>
        <v>31</v>
      </c>
      <c r="R85" t="str">
        <f t="shared" ca="1" si="109"/>
        <v/>
      </c>
    </row>
    <row r="86" spans="3:18">
      <c r="D86" t="str">
        <f>Historical!C95</f>
        <v>Intangibles</v>
      </c>
      <c r="E86" t="s">
        <v>126</v>
      </c>
      <c r="I86" s="88">
        <f>Historical!G95</f>
        <v>15.5</v>
      </c>
      <c r="J86" s="88">
        <f>Historical!H95</f>
        <v>14.7</v>
      </c>
      <c r="K86" s="88">
        <f>Historical!I95</f>
        <v>13.1</v>
      </c>
      <c r="L86">
        <f>K86+Assumptions!L121</f>
        <v>13.1</v>
      </c>
      <c r="M86">
        <f>L86+Assumptions!M121</f>
        <v>13.1</v>
      </c>
      <c r="N86">
        <f>M86+Assumptions!N121</f>
        <v>13.1</v>
      </c>
      <c r="O86">
        <f>N86+Assumptions!O121</f>
        <v>13.1</v>
      </c>
      <c r="P86">
        <f>O86+Assumptions!P121</f>
        <v>13.1</v>
      </c>
      <c r="R86" t="str">
        <f t="shared" ca="1" si="109"/>
        <v/>
      </c>
    </row>
    <row r="87" spans="3:18">
      <c r="D87" t="str">
        <f>Historical!C96</f>
        <v>Other Long term Assets</v>
      </c>
      <c r="E87" t="s">
        <v>126</v>
      </c>
      <c r="I87" s="88">
        <f>Historical!G96</f>
        <v>4.2</v>
      </c>
      <c r="J87" s="88">
        <f>Historical!H96</f>
        <v>3.5</v>
      </c>
      <c r="K87" s="88">
        <f>Historical!I96</f>
        <v>2.1</v>
      </c>
      <c r="L87">
        <f>K87+Assumptions!L122</f>
        <v>2.1</v>
      </c>
      <c r="M87">
        <f>L87+Assumptions!M122</f>
        <v>2.1</v>
      </c>
      <c r="N87">
        <f>M87+Assumptions!N122</f>
        <v>2.1</v>
      </c>
      <c r="O87">
        <f>N87+Assumptions!O122</f>
        <v>2.1</v>
      </c>
      <c r="P87">
        <f>O87+Assumptions!P122</f>
        <v>2.1</v>
      </c>
      <c r="R87" t="str">
        <f t="shared" ca="1" si="109"/>
        <v/>
      </c>
    </row>
    <row r="88" spans="3:18" s="70" customFormat="1">
      <c r="D88" s="70" t="str">
        <f>Historical!C97</f>
        <v>Total Long Term Assets</v>
      </c>
      <c r="E88" t="s">
        <v>126</v>
      </c>
      <c r="I88" s="70">
        <f t="shared" ref="I88:L88" si="110">SUM(I84:I87)</f>
        <v>2398.3999999999996</v>
      </c>
      <c r="J88" s="70">
        <f t="shared" si="110"/>
        <v>2498.4999999999995</v>
      </c>
      <c r="K88" s="70">
        <f t="shared" si="110"/>
        <v>2588.3999999999996</v>
      </c>
      <c r="L88" s="70">
        <f t="shared" si="110"/>
        <v>2670.5559999999996</v>
      </c>
      <c r="M88" s="70">
        <f t="shared" ref="M88" si="111">SUM(M84:M87)</f>
        <v>2740.4288799999995</v>
      </c>
      <c r="N88" s="70">
        <f t="shared" ref="N88" si="112">SUM(N84:N87)</f>
        <v>2808.8283023999993</v>
      </c>
      <c r="O88" s="70">
        <f t="shared" ref="O88" si="113">SUM(O84:O87)</f>
        <v>2866.4813363519993</v>
      </c>
      <c r="P88" s="70">
        <f t="shared" ref="P88" si="114">SUM(P84:P87)</f>
        <v>2914.5407496249591</v>
      </c>
      <c r="R88" t="str">
        <f t="shared" ca="1" si="109"/>
        <v/>
      </c>
    </row>
    <row r="90" spans="3:18" s="70" customFormat="1">
      <c r="D90" s="70" t="str">
        <f>Historical!C99</f>
        <v>Total Assets</v>
      </c>
      <c r="E90" t="s">
        <v>126</v>
      </c>
      <c r="I90" s="70">
        <f>I82+I88</f>
        <v>2625.7</v>
      </c>
      <c r="J90" s="70">
        <f t="shared" ref="J90:P90" si="115">J82+J88</f>
        <v>2724.0999999999995</v>
      </c>
      <c r="K90" s="70">
        <f t="shared" si="115"/>
        <v>2811.9999999999995</v>
      </c>
      <c r="L90" s="70">
        <f t="shared" si="115"/>
        <v>2695.6552172164379</v>
      </c>
      <c r="M90" s="70">
        <f t="shared" si="115"/>
        <v>2885.3010508200764</v>
      </c>
      <c r="N90" s="70">
        <f t="shared" si="115"/>
        <v>3111.5738841564894</v>
      </c>
      <c r="O90" s="70">
        <f t="shared" si="115"/>
        <v>2950.8256639890769</v>
      </c>
      <c r="P90" s="70">
        <f t="shared" si="115"/>
        <v>2948.6728871325263</v>
      </c>
      <c r="R90" t="str">
        <f ca="1">IF($R$5=1,_xlfn.FORMULATEXT(P90),"")</f>
        <v/>
      </c>
    </row>
    <row r="93" spans="3:18">
      <c r="C93" s="70" t="str">
        <f>Historical!B102</f>
        <v>LIABILITIES AND EQUITY</v>
      </c>
    </row>
    <row r="94" spans="3:18">
      <c r="D94" t="str">
        <f>Historical!C103</f>
        <v>Bank Debt - Revolver</v>
      </c>
      <c r="E94" t="s">
        <v>126</v>
      </c>
      <c r="I94" s="88">
        <f>Historical!G103</f>
        <v>0</v>
      </c>
      <c r="J94" s="88">
        <f>Historical!H103</f>
        <v>0</v>
      </c>
      <c r="K94" s="88">
        <f>Historical!I103</f>
        <v>0</v>
      </c>
      <c r="L94">
        <f>L374</f>
        <v>38.688904071825533</v>
      </c>
      <c r="M94">
        <f t="shared" ref="M94:P94" si="116">M374</f>
        <v>0</v>
      </c>
      <c r="N94">
        <f t="shared" si="116"/>
        <v>0</v>
      </c>
      <c r="O94">
        <f t="shared" si="116"/>
        <v>0</v>
      </c>
      <c r="P94">
        <f t="shared" si="116"/>
        <v>75.33013300589694</v>
      </c>
      <c r="R94" t="str">
        <f t="shared" ref="R94:R97" ca="1" si="117">IF($R$5=1,_xlfn.FORMULATEXT(P94),"")</f>
        <v/>
      </c>
    </row>
    <row r="95" spans="3:18">
      <c r="D95" t="str">
        <f>Historical!C104</f>
        <v>Accounts Payable</v>
      </c>
      <c r="E95" t="s">
        <v>126</v>
      </c>
      <c r="I95" s="88">
        <f>Historical!G104</f>
        <v>14.9</v>
      </c>
      <c r="J95" s="88">
        <f>Historical!H104</f>
        <v>21.5</v>
      </c>
      <c r="K95" s="88">
        <f>Historical!I104</f>
        <v>23.9</v>
      </c>
      <c r="L95">
        <f>L275</f>
        <v>24.642413063013702</v>
      </c>
      <c r="M95">
        <f t="shared" ref="M95:P95" si="118">M275</f>
        <v>26.429057319344267</v>
      </c>
      <c r="N95">
        <f t="shared" si="118"/>
        <v>28.449883314305755</v>
      </c>
      <c r="O95">
        <f t="shared" si="118"/>
        <v>30.491354671048512</v>
      </c>
      <c r="P95">
        <f t="shared" si="118"/>
        <v>31.813966678857632</v>
      </c>
      <c r="R95" t="str">
        <f t="shared" ca="1" si="117"/>
        <v/>
      </c>
    </row>
    <row r="96" spans="3:18">
      <c r="D96" t="str">
        <f>Historical!C105</f>
        <v>Other Current Liabilities</v>
      </c>
      <c r="E96" t="s">
        <v>126</v>
      </c>
      <c r="I96" s="88">
        <f>Historical!G105</f>
        <v>4.5999999999999996</v>
      </c>
      <c r="J96" s="88">
        <f>Historical!H105</f>
        <v>5.0999999999999996</v>
      </c>
      <c r="K96" s="88">
        <f>Historical!I105</f>
        <v>4.9000000000000004</v>
      </c>
      <c r="L96">
        <f>L276</f>
        <v>6.0998478094836672</v>
      </c>
      <c r="M96">
        <f t="shared" ref="M96:P96" si="119">M276</f>
        <v>6.5421039321059276</v>
      </c>
      <c r="N96">
        <f t="shared" si="119"/>
        <v>7.0423281182354467</v>
      </c>
      <c r="O96">
        <f t="shared" si="119"/>
        <v>7.5476627440169377</v>
      </c>
      <c r="P96">
        <f t="shared" si="119"/>
        <v>7.8750548682379335</v>
      </c>
      <c r="R96" t="str">
        <f t="shared" ca="1" si="117"/>
        <v/>
      </c>
    </row>
    <row r="97" spans="4:18" s="70" customFormat="1">
      <c r="D97" s="70" t="str">
        <f>Historical!C106</f>
        <v>Total Current Liabilities</v>
      </c>
      <c r="E97" t="s">
        <v>126</v>
      </c>
      <c r="I97" s="70">
        <f t="shared" ref="I97:K97" si="120">SUM(I94:I96)</f>
        <v>19.5</v>
      </c>
      <c r="J97" s="70">
        <f t="shared" si="120"/>
        <v>26.6</v>
      </c>
      <c r="K97" s="70">
        <f t="shared" si="120"/>
        <v>28.799999999999997</v>
      </c>
      <c r="L97" s="70">
        <f t="shared" ref="L97" si="121">SUM(L94:L96)</f>
        <v>69.431164944322902</v>
      </c>
      <c r="M97" s="70">
        <f t="shared" ref="M97" si="122">SUM(M94:M96)</f>
        <v>32.971161251450198</v>
      </c>
      <c r="N97" s="70">
        <f t="shared" ref="N97" si="123">SUM(N94:N96)</f>
        <v>35.492211432541204</v>
      </c>
      <c r="O97" s="70">
        <f t="shared" ref="O97" si="124">SUM(O94:O96)</f>
        <v>38.039017415065452</v>
      </c>
      <c r="P97" s="70">
        <f t="shared" ref="P97" si="125">SUM(P94:P96)</f>
        <v>115.0191545529925</v>
      </c>
      <c r="R97" t="str">
        <f t="shared" ca="1" si="117"/>
        <v/>
      </c>
    </row>
    <row r="99" spans="4:18">
      <c r="D99" t="str">
        <f>Historical!C108</f>
        <v>Variable Rate Long Term Debt</v>
      </c>
      <c r="E99" t="s">
        <v>126</v>
      </c>
      <c r="I99" s="88">
        <f>Historical!G108</f>
        <v>577.70000000000005</v>
      </c>
      <c r="J99" s="88">
        <f>Historical!H108</f>
        <v>597.70000000000005</v>
      </c>
      <c r="K99" s="88">
        <f>Historical!I108</f>
        <v>622.70000000000005</v>
      </c>
      <c r="L99">
        <f>L344</f>
        <v>487.70000000000005</v>
      </c>
      <c r="M99">
        <f t="shared" ref="M99:P99" si="126">M344</f>
        <v>352.70000000000005</v>
      </c>
      <c r="N99">
        <f t="shared" si="126"/>
        <v>217.70000000000005</v>
      </c>
      <c r="O99">
        <f t="shared" si="126"/>
        <v>82.700000000000045</v>
      </c>
      <c r="P99">
        <f t="shared" si="126"/>
        <v>0</v>
      </c>
      <c r="R99" t="str">
        <f t="shared" ref="R99:R103" ca="1" si="127">IF($R$5=1,_xlfn.FORMULATEXT(P99),"")</f>
        <v/>
      </c>
    </row>
    <row r="100" spans="4:18">
      <c r="D100" t="str">
        <f>Historical!C109</f>
        <v>Fixed Rate Long Term Debt</v>
      </c>
      <c r="E100" t="s">
        <v>126</v>
      </c>
      <c r="I100" s="88">
        <f>Historical!G109</f>
        <v>174.6</v>
      </c>
      <c r="J100" s="88">
        <f>Historical!H109</f>
        <v>199.6</v>
      </c>
      <c r="K100" s="88">
        <f>Historical!I109</f>
        <v>224.6</v>
      </c>
      <c r="L100">
        <f>L334</f>
        <v>174.6</v>
      </c>
      <c r="M100">
        <f t="shared" ref="M100:P100" si="128">M334</f>
        <v>124.6</v>
      </c>
      <c r="N100">
        <f t="shared" si="128"/>
        <v>74.599999999999994</v>
      </c>
      <c r="O100">
        <f t="shared" si="128"/>
        <v>24.599999999999994</v>
      </c>
      <c r="P100">
        <f t="shared" si="128"/>
        <v>0</v>
      </c>
      <c r="R100" t="str">
        <f t="shared" ca="1" si="127"/>
        <v/>
      </c>
    </row>
    <row r="101" spans="4:18">
      <c r="D101" t="str">
        <f>Historical!C110</f>
        <v>Deferred Income Taxes</v>
      </c>
      <c r="E101" t="s">
        <v>126</v>
      </c>
      <c r="I101" s="88">
        <f>Historical!G110</f>
        <v>10.4</v>
      </c>
      <c r="J101" s="88">
        <f>Historical!H110</f>
        <v>22.200000000000003</v>
      </c>
      <c r="K101" s="88">
        <f>Historical!I110</f>
        <v>30.6</v>
      </c>
      <c r="L101">
        <f>K101+L28</f>
        <v>32.225000000000001</v>
      </c>
      <c r="M101">
        <f t="shared" ref="M101:P101" si="129">L101+M28</f>
        <v>33.85</v>
      </c>
      <c r="N101">
        <f t="shared" si="129"/>
        <v>35.475000000000001</v>
      </c>
      <c r="O101">
        <f t="shared" si="129"/>
        <v>37.1</v>
      </c>
      <c r="P101">
        <f t="shared" si="129"/>
        <v>38.725000000000001</v>
      </c>
      <c r="R101" t="str">
        <f t="shared" ca="1" si="127"/>
        <v/>
      </c>
    </row>
    <row r="102" spans="4:18">
      <c r="D102" t="str">
        <f>Historical!C111</f>
        <v>Other Longterm Liabilities</v>
      </c>
      <c r="E102" t="s">
        <v>126</v>
      </c>
      <c r="I102" s="88">
        <f>Historical!G111</f>
        <v>2.4</v>
      </c>
      <c r="J102" s="88">
        <f>Historical!H111</f>
        <v>3.6</v>
      </c>
      <c r="K102" s="88">
        <f>Historical!I111</f>
        <v>3.2</v>
      </c>
      <c r="L102">
        <f>K102+Assumptions!L123</f>
        <v>3.2</v>
      </c>
      <c r="M102">
        <f>L102+Assumptions!M123</f>
        <v>3.2</v>
      </c>
      <c r="N102">
        <f>M102+Assumptions!N123</f>
        <v>3.2</v>
      </c>
      <c r="O102">
        <f>N102+Assumptions!O123</f>
        <v>3.2</v>
      </c>
      <c r="P102">
        <f>O102+Assumptions!P123</f>
        <v>3.2</v>
      </c>
      <c r="R102" t="str">
        <f t="shared" ca="1" si="127"/>
        <v/>
      </c>
    </row>
    <row r="103" spans="4:18" s="70" customFormat="1">
      <c r="D103" s="70" t="str">
        <f>Historical!C112</f>
        <v>Total Long Term Liabilities</v>
      </c>
      <c r="E103" t="s">
        <v>126</v>
      </c>
      <c r="I103" s="70">
        <f>SUM(I99:I102)</f>
        <v>765.1</v>
      </c>
      <c r="J103" s="70">
        <f t="shared" ref="J103:L103" si="130">SUM(J99:J102)</f>
        <v>823.10000000000014</v>
      </c>
      <c r="K103" s="70">
        <f t="shared" si="130"/>
        <v>881.10000000000014</v>
      </c>
      <c r="L103" s="70">
        <f t="shared" si="130"/>
        <v>697.72500000000014</v>
      </c>
      <c r="M103" s="70">
        <f t="shared" ref="M103" si="131">SUM(M99:M102)</f>
        <v>514.35000000000014</v>
      </c>
      <c r="N103" s="70">
        <f t="shared" ref="N103" si="132">SUM(N99:N102)</f>
        <v>330.97500000000008</v>
      </c>
      <c r="O103" s="70">
        <f t="shared" ref="O103" si="133">SUM(O99:O102)</f>
        <v>147.60000000000002</v>
      </c>
      <c r="P103" s="70">
        <f t="shared" ref="P103" si="134">SUM(P99:P102)</f>
        <v>41.925000000000004</v>
      </c>
      <c r="R103" t="str">
        <f t="shared" ca="1" si="127"/>
        <v/>
      </c>
    </row>
    <row r="105" spans="4:18" s="70" customFormat="1">
      <c r="D105" s="70" t="str">
        <f>Historical!C114</f>
        <v>Total Liabilities</v>
      </c>
      <c r="E105" t="s">
        <v>126</v>
      </c>
      <c r="I105" s="70">
        <f>I97+I103</f>
        <v>784.6</v>
      </c>
      <c r="J105" s="70">
        <f t="shared" ref="J105:P105" si="135">J97+J103</f>
        <v>849.70000000000016</v>
      </c>
      <c r="K105" s="70">
        <f t="shared" si="135"/>
        <v>909.90000000000009</v>
      </c>
      <c r="L105" s="70">
        <f t="shared" si="135"/>
        <v>767.156164944323</v>
      </c>
      <c r="M105" s="70">
        <f t="shared" si="135"/>
        <v>547.32116125145035</v>
      </c>
      <c r="N105" s="70">
        <f t="shared" si="135"/>
        <v>366.46721143254126</v>
      </c>
      <c r="O105" s="70">
        <f t="shared" si="135"/>
        <v>185.63901741506547</v>
      </c>
      <c r="P105" s="70">
        <f t="shared" si="135"/>
        <v>156.9441545529925</v>
      </c>
      <c r="R105" t="str">
        <f ca="1">IF($R$5=1,_xlfn.FORMULATEXT(P105),"")</f>
        <v/>
      </c>
    </row>
    <row r="107" spans="4:18">
      <c r="D107" t="str">
        <f>Historical!C116</f>
        <v>Preferred Shares</v>
      </c>
      <c r="E107" t="s">
        <v>126</v>
      </c>
      <c r="I107" s="88">
        <f>Historical!G116</f>
        <v>0</v>
      </c>
      <c r="J107" s="88">
        <f>Historical!H116</f>
        <v>0</v>
      </c>
      <c r="K107" s="88">
        <f>Historical!I116</f>
        <v>0</v>
      </c>
      <c r="L107">
        <f>L316</f>
        <v>0</v>
      </c>
      <c r="M107">
        <f t="shared" ref="M107:P107" si="136">M316</f>
        <v>400</v>
      </c>
      <c r="N107">
        <f t="shared" si="136"/>
        <v>800</v>
      </c>
      <c r="O107">
        <f t="shared" si="136"/>
        <v>800</v>
      </c>
      <c r="P107">
        <f t="shared" si="136"/>
        <v>800</v>
      </c>
      <c r="R107" t="str">
        <f t="shared" ref="R107:R111" ca="1" si="137">IF($R$5=1,_xlfn.FORMULATEXT(P107),"")</f>
        <v/>
      </c>
    </row>
    <row r="108" spans="4:18">
      <c r="D108" t="str">
        <f>Historical!C117</f>
        <v>Common Shares</v>
      </c>
      <c r="E108" t="s">
        <v>126</v>
      </c>
      <c r="I108" s="88">
        <f>Historical!G117</f>
        <v>1653.2</v>
      </c>
      <c r="J108" s="88">
        <f>Historical!H117</f>
        <v>1649.2</v>
      </c>
      <c r="K108" s="88">
        <f>Historical!I117</f>
        <v>1643.2</v>
      </c>
      <c r="L108">
        <f>L308</f>
        <v>1633.2</v>
      </c>
      <c r="M108">
        <f t="shared" ref="M108:P108" si="138">M308</f>
        <v>1623.2</v>
      </c>
      <c r="N108">
        <f t="shared" si="138"/>
        <v>1623.2</v>
      </c>
      <c r="O108">
        <f t="shared" si="138"/>
        <v>1623.2</v>
      </c>
      <c r="P108">
        <f t="shared" si="138"/>
        <v>1623.2</v>
      </c>
      <c r="R108" t="str">
        <f t="shared" ca="1" si="137"/>
        <v/>
      </c>
    </row>
    <row r="109" spans="4:18">
      <c r="D109" t="str">
        <f>Historical!C118</f>
        <v>Retained Earnings</v>
      </c>
      <c r="E109" t="s">
        <v>126</v>
      </c>
      <c r="I109" s="88">
        <f>Historical!G118</f>
        <v>175.1</v>
      </c>
      <c r="J109" s="88">
        <f>Historical!H118</f>
        <v>211.00000000000003</v>
      </c>
      <c r="K109" s="88">
        <f>Historical!I118</f>
        <v>245.00000000000003</v>
      </c>
      <c r="L109">
        <f>L324</f>
        <v>281.3990522721154</v>
      </c>
      <c r="M109">
        <f t="shared" ref="M109:P109" si="139">M324</f>
        <v>300.87988956862648</v>
      </c>
      <c r="N109">
        <f t="shared" si="139"/>
        <v>308.00667272394867</v>
      </c>
      <c r="O109">
        <f t="shared" si="139"/>
        <v>328.08664657401192</v>
      </c>
      <c r="P109">
        <f t="shared" si="139"/>
        <v>354.62873257953464</v>
      </c>
      <c r="R109" t="str">
        <f t="shared" ca="1" si="137"/>
        <v/>
      </c>
    </row>
    <row r="110" spans="4:18">
      <c r="D110" t="str">
        <f>Historical!C119</f>
        <v>Other Shareholder equity</v>
      </c>
      <c r="E110" t="s">
        <v>126</v>
      </c>
      <c r="I110" s="88">
        <f>Historical!G119</f>
        <v>12.8</v>
      </c>
      <c r="J110" s="88">
        <f>Historical!H119</f>
        <v>14.2</v>
      </c>
      <c r="K110" s="88">
        <f>Historical!I119</f>
        <v>13.9</v>
      </c>
      <c r="L110">
        <f>K110+Assumptions!L124</f>
        <v>13.9</v>
      </c>
      <c r="M110">
        <f>L110+Assumptions!M124</f>
        <v>13.9</v>
      </c>
      <c r="N110">
        <f>M110+Assumptions!N124</f>
        <v>13.9</v>
      </c>
      <c r="O110">
        <f>N110+Assumptions!O124</f>
        <v>13.9</v>
      </c>
      <c r="P110">
        <f>O110+Assumptions!P124</f>
        <v>13.9</v>
      </c>
      <c r="R110" t="str">
        <f t="shared" ca="1" si="137"/>
        <v/>
      </c>
    </row>
    <row r="111" spans="4:18" s="70" customFormat="1">
      <c r="D111" s="70" t="str">
        <f>Historical!C120</f>
        <v>Shareholder's Equity</v>
      </c>
      <c r="E111" t="s">
        <v>126</v>
      </c>
      <c r="I111" s="70">
        <f t="shared" ref="I111:L111" si="140">SUM(I107:I110)</f>
        <v>1841.1</v>
      </c>
      <c r="J111" s="70">
        <f t="shared" si="140"/>
        <v>1874.4</v>
      </c>
      <c r="K111" s="70">
        <f t="shared" si="140"/>
        <v>1902.1000000000001</v>
      </c>
      <c r="L111" s="70">
        <f t="shared" si="140"/>
        <v>1928.4990522721155</v>
      </c>
      <c r="M111" s="70">
        <f t="shared" ref="M111" si="141">SUM(M107:M110)</f>
        <v>2337.9798895686267</v>
      </c>
      <c r="N111" s="70">
        <f t="shared" ref="N111" si="142">SUM(N107:N110)</f>
        <v>2745.1066727239486</v>
      </c>
      <c r="O111" s="70">
        <f t="shared" ref="O111" si="143">SUM(O107:O110)</f>
        <v>2765.1866465740118</v>
      </c>
      <c r="P111" s="70">
        <f t="shared" ref="P111" si="144">SUM(P107:P110)</f>
        <v>2791.7287325795346</v>
      </c>
      <c r="R111" t="str">
        <f t="shared" ca="1" si="137"/>
        <v/>
      </c>
    </row>
    <row r="113" spans="2:18" s="70" customFormat="1">
      <c r="C113" s="70" t="str">
        <f>Historical!B122</f>
        <v>Total Liabilities and Equity</v>
      </c>
      <c r="E113" t="s">
        <v>126</v>
      </c>
      <c r="I113" s="70">
        <f>I111+I105</f>
        <v>2625.7</v>
      </c>
      <c r="J113" s="70">
        <f t="shared" ref="J113:P113" si="145">J111+J105</f>
        <v>2724.1000000000004</v>
      </c>
      <c r="K113" s="70">
        <f t="shared" si="145"/>
        <v>2812</v>
      </c>
      <c r="L113" s="70">
        <f t="shared" si="145"/>
        <v>2695.6552172164384</v>
      </c>
      <c r="M113" s="70">
        <f t="shared" si="145"/>
        <v>2885.3010508200769</v>
      </c>
      <c r="N113" s="70">
        <f t="shared" si="145"/>
        <v>3111.5738841564898</v>
      </c>
      <c r="O113" s="70">
        <f t="shared" si="145"/>
        <v>2950.8256639890774</v>
      </c>
      <c r="P113" s="70">
        <f t="shared" si="145"/>
        <v>2948.6728871325272</v>
      </c>
      <c r="R113" t="str">
        <f ca="1">IF($R$5=1,_xlfn.FORMULATEXT(P113),"")</f>
        <v/>
      </c>
    </row>
    <row r="115" spans="2:18">
      <c r="D115" t="s">
        <v>189</v>
      </c>
      <c r="G115">
        <f>ROUND(SUM(I115:P115),2)</f>
        <v>0</v>
      </c>
      <c r="I115">
        <f>ABS(I113-I90)</f>
        <v>0</v>
      </c>
      <c r="J115">
        <f t="shared" ref="J115:P115" si="146">ABS(J113-J90)</f>
        <v>9.0949470177292824E-13</v>
      </c>
      <c r="K115">
        <f t="shared" si="146"/>
        <v>4.5474735088646412E-13</v>
      </c>
      <c r="L115">
        <f t="shared" si="146"/>
        <v>4.5474735088646412E-13</v>
      </c>
      <c r="M115">
        <f t="shared" si="146"/>
        <v>4.5474735088646412E-13</v>
      </c>
      <c r="N115">
        <f t="shared" si="146"/>
        <v>4.5474735088646412E-13</v>
      </c>
      <c r="O115">
        <f t="shared" si="146"/>
        <v>4.5474735088646412E-13</v>
      </c>
      <c r="P115">
        <f t="shared" si="146"/>
        <v>9.0949470177292824E-13</v>
      </c>
      <c r="R115" t="str">
        <f ca="1">IF($R$5=1,_xlfn.FORMULATEXT(P115),"")</f>
        <v/>
      </c>
    </row>
    <row r="117" spans="2:18" ht="13.25" thickBot="1">
      <c r="B117" s="85" t="s">
        <v>190</v>
      </c>
      <c r="C117" s="85"/>
      <c r="D117" s="85"/>
      <c r="E117" s="85"/>
      <c r="F117" s="85"/>
      <c r="G117" s="85"/>
      <c r="H117" s="85"/>
      <c r="I117" s="85"/>
      <c r="J117" s="85"/>
      <c r="K117" s="85"/>
      <c r="L117" s="85"/>
      <c r="M117" s="85"/>
      <c r="N117" s="85"/>
      <c r="O117" s="85"/>
      <c r="P117" s="85"/>
    </row>
    <row r="118" spans="2:18" ht="13.25" thickBot="1">
      <c r="C118" s="85" t="s">
        <v>191</v>
      </c>
      <c r="D118" s="85"/>
      <c r="E118" s="85"/>
      <c r="F118" s="85"/>
      <c r="G118" s="85"/>
      <c r="H118" s="85"/>
      <c r="I118" s="85"/>
      <c r="J118" s="85"/>
      <c r="K118" s="85"/>
      <c r="L118" s="85"/>
      <c r="M118" s="85"/>
      <c r="N118" s="85"/>
      <c r="O118" s="85"/>
      <c r="P118" s="85"/>
    </row>
    <row r="120" spans="2:18">
      <c r="C120" s="70" t="s">
        <v>261</v>
      </c>
    </row>
    <row r="121" spans="2:18">
      <c r="C121" s="70"/>
      <c r="D121" t="str">
        <f>Assumptions!D23</f>
        <v>Total Numbers of Properties</v>
      </c>
      <c r="E121" t="str">
        <f>Assumptions!E23</f>
        <v>unit</v>
      </c>
      <c r="F121" s="88">
        <f>Assumptions!K23</f>
        <v>390</v>
      </c>
    </row>
    <row r="122" spans="2:18">
      <c r="C122" s="70"/>
      <c r="D122" t="str">
        <f>Assumptions!D24</f>
        <v>Current Leasable Areas</v>
      </c>
      <c r="E122" t="str">
        <f>Assumptions!E24</f>
        <v>Square feet</v>
      </c>
      <c r="F122" s="88">
        <f>Assumptions!K24</f>
        <v>1560000</v>
      </c>
    </row>
    <row r="123" spans="2:18">
      <c r="C123" s="70"/>
      <c r="D123" t="str">
        <f>Assumptions!D25</f>
        <v>Land currently Built up</v>
      </c>
      <c r="E123" t="str">
        <f>Assumptions!E25</f>
        <v>%</v>
      </c>
      <c r="F123" s="91">
        <f>Assumptions!K25</f>
        <v>0.6</v>
      </c>
    </row>
    <row r="124" spans="2:18">
      <c r="C124" s="70"/>
      <c r="D124" t="s">
        <v>256</v>
      </c>
      <c r="E124" t="s">
        <v>122</v>
      </c>
      <c r="F124">
        <f>F122/F123</f>
        <v>2600000</v>
      </c>
    </row>
    <row r="125" spans="2:18">
      <c r="C125" s="70"/>
      <c r="D125" t="str">
        <f>Assumptions!D26</f>
        <v>Land available for new property</v>
      </c>
      <c r="E125" t="str">
        <f>Assumptions!E26</f>
        <v>%</v>
      </c>
      <c r="F125" s="91">
        <f>Assumptions!K26</f>
        <v>0.2</v>
      </c>
    </row>
    <row r="126" spans="2:18">
      <c r="C126" s="70"/>
      <c r="D126" t="s">
        <v>260</v>
      </c>
      <c r="E126" t="s">
        <v>122</v>
      </c>
      <c r="F126">
        <f>F124*F125</f>
        <v>520000</v>
      </c>
    </row>
    <row r="127" spans="2:18">
      <c r="C127" s="70"/>
      <c r="D127" t="s">
        <v>255</v>
      </c>
      <c r="E127" t="s">
        <v>122</v>
      </c>
      <c r="F127">
        <f>F122/F121</f>
        <v>4000</v>
      </c>
      <c r="M127" s="143"/>
    </row>
    <row r="128" spans="2:18">
      <c r="C128" s="70"/>
      <c r="D128" s="70" t="s">
        <v>259</v>
      </c>
      <c r="E128" s="70" t="s">
        <v>81</v>
      </c>
      <c r="F128" s="70">
        <f>F126/F127</f>
        <v>130</v>
      </c>
      <c r="M128" s="143"/>
    </row>
    <row r="130" spans="3:18">
      <c r="C130" s="70"/>
      <c r="D130" t="str">
        <f>Assumptions!D28</f>
        <v>Additional Properties Assumption</v>
      </c>
      <c r="E130" t="str">
        <f>Assumptions!E28</f>
        <v>unit</v>
      </c>
      <c r="L130" s="88">
        <f>Assumptions!L28</f>
        <v>30</v>
      </c>
      <c r="M130" s="88">
        <f>Assumptions!M28</f>
        <v>30</v>
      </c>
      <c r="N130" s="88">
        <f>Assumptions!N28</f>
        <v>30</v>
      </c>
      <c r="O130" s="88">
        <f>Assumptions!O28</f>
        <v>30</v>
      </c>
      <c r="P130" s="88">
        <f>Assumptions!P28</f>
        <v>30</v>
      </c>
    </row>
    <row r="132" spans="3:18">
      <c r="C132" s="70" t="s">
        <v>265</v>
      </c>
    </row>
    <row r="133" spans="3:18">
      <c r="D133" t="s">
        <v>263</v>
      </c>
      <c r="E133" t="s">
        <v>81</v>
      </c>
      <c r="L133">
        <f>K135</f>
        <v>130</v>
      </c>
      <c r="M133">
        <f t="shared" ref="M133:P133" si="147">L135</f>
        <v>100</v>
      </c>
      <c r="N133">
        <f t="shared" si="147"/>
        <v>70</v>
      </c>
      <c r="O133">
        <f t="shared" si="147"/>
        <v>40</v>
      </c>
      <c r="P133">
        <f t="shared" si="147"/>
        <v>10</v>
      </c>
    </row>
    <row r="134" spans="3:18">
      <c r="C134" s="70"/>
      <c r="D134" t="s">
        <v>266</v>
      </c>
      <c r="E134" t="s">
        <v>81</v>
      </c>
      <c r="L134">
        <f>MIN(L133,L130)</f>
        <v>30</v>
      </c>
      <c r="M134">
        <f>MIN(M133,M130)</f>
        <v>30</v>
      </c>
      <c r="N134">
        <f>MIN(N133,N130)</f>
        <v>30</v>
      </c>
      <c r="O134">
        <f>MIN(O133,O130)</f>
        <v>30</v>
      </c>
      <c r="P134">
        <f>MIN(P133,P130)</f>
        <v>10</v>
      </c>
    </row>
    <row r="135" spans="3:18">
      <c r="C135" s="70"/>
      <c r="D135" t="s">
        <v>264</v>
      </c>
      <c r="E135" t="s">
        <v>81</v>
      </c>
      <c r="K135" s="88">
        <f>F128</f>
        <v>130</v>
      </c>
      <c r="L135">
        <f>L133-L134</f>
        <v>100</v>
      </c>
      <c r="M135">
        <f t="shared" ref="M135:P135" si="148">M133-M134</f>
        <v>70</v>
      </c>
      <c r="N135">
        <f t="shared" si="148"/>
        <v>40</v>
      </c>
      <c r="O135">
        <f t="shared" si="148"/>
        <v>10</v>
      </c>
      <c r="P135">
        <f t="shared" si="148"/>
        <v>0</v>
      </c>
    </row>
    <row r="136" spans="3:18">
      <c r="C136" s="70"/>
    </row>
    <row r="137" spans="3:18">
      <c r="D137" t="str">
        <f>Assumptions!D23</f>
        <v>Total Numbers of Properties</v>
      </c>
      <c r="E137" t="str">
        <f>Assumptions!E23</f>
        <v>unit</v>
      </c>
      <c r="K137" s="88">
        <f>Assumptions!K23</f>
        <v>390</v>
      </c>
      <c r="L137">
        <f>K137+L138</f>
        <v>420</v>
      </c>
      <c r="M137">
        <f>L137+M138</f>
        <v>450</v>
      </c>
      <c r="N137">
        <f>M137+N138</f>
        <v>480</v>
      </c>
      <c r="O137">
        <f>N137+O138</f>
        <v>510</v>
      </c>
      <c r="P137">
        <f>O137+P138</f>
        <v>520</v>
      </c>
      <c r="R137" t="str">
        <f t="shared" ref="R137:R141" ca="1" si="149">IF($R$5=1,_xlfn.FORMULATEXT(P137),"")</f>
        <v/>
      </c>
    </row>
    <row r="138" spans="3:18">
      <c r="D138" t="str">
        <f>Assumptions!D28</f>
        <v>Additional Properties Assumption</v>
      </c>
      <c r="E138" t="str">
        <f>Assumptions!E28</f>
        <v>unit</v>
      </c>
      <c r="L138" s="88">
        <f>L134</f>
        <v>30</v>
      </c>
      <c r="M138" s="88">
        <f>M134</f>
        <v>30</v>
      </c>
      <c r="N138" s="88">
        <f>N134</f>
        <v>30</v>
      </c>
      <c r="O138" s="88">
        <f>O134</f>
        <v>30</v>
      </c>
      <c r="P138" s="88">
        <f>P134</f>
        <v>10</v>
      </c>
      <c r="R138" t="str">
        <f t="shared" ca="1" si="149"/>
        <v/>
      </c>
    </row>
    <row r="139" spans="3:18">
      <c r="D139" t="str">
        <f>Assumptions!D24</f>
        <v>Current Leasable Areas</v>
      </c>
      <c r="E139" t="str">
        <f>Assumptions!E24</f>
        <v>Square feet</v>
      </c>
    </row>
    <row r="140" spans="3:18">
      <c r="N140" s="140"/>
    </row>
    <row r="141" spans="3:18">
      <c r="D141" t="str">
        <f>Assumptions!D24</f>
        <v>Current Leasable Areas</v>
      </c>
      <c r="E141" t="str">
        <f>Assumptions!E24</f>
        <v>Square feet</v>
      </c>
      <c r="K141" s="88">
        <f>Assumptions!K24</f>
        <v>1560000</v>
      </c>
      <c r="L141">
        <f>K141+L143</f>
        <v>1680000</v>
      </c>
      <c r="M141">
        <f t="shared" ref="M141:P141" si="150">L141+M143</f>
        <v>1800000</v>
      </c>
      <c r="N141">
        <f t="shared" si="150"/>
        <v>1920000</v>
      </c>
      <c r="O141">
        <f t="shared" si="150"/>
        <v>2040000</v>
      </c>
      <c r="P141">
        <f t="shared" si="150"/>
        <v>2080000</v>
      </c>
      <c r="R141" t="str">
        <f t="shared" ca="1" si="149"/>
        <v/>
      </c>
    </row>
    <row r="143" spans="3:18">
      <c r="D143" t="s">
        <v>192</v>
      </c>
      <c r="E143" t="s">
        <v>193</v>
      </c>
      <c r="K143" s="88">
        <f>K141/K137</f>
        <v>4000</v>
      </c>
      <c r="L143">
        <f>$K$143*L138</f>
        <v>120000</v>
      </c>
      <c r="M143">
        <f>$K$143*M138</f>
        <v>120000</v>
      </c>
      <c r="N143">
        <f>$K$143*N138</f>
        <v>120000</v>
      </c>
      <c r="O143">
        <f>$K$143*O138</f>
        <v>120000</v>
      </c>
      <c r="P143">
        <f>$K$143*P138</f>
        <v>40000</v>
      </c>
    </row>
    <row r="145" spans="3:18">
      <c r="C145" s="70" t="str">
        <f>Assumptions!C30</f>
        <v>Sales Price</v>
      </c>
    </row>
    <row r="146" spans="3:18">
      <c r="D146" t="str">
        <f>Assumptions!D31</f>
        <v>Rent growth</v>
      </c>
      <c r="E146" t="str">
        <f>Assumptions!E31</f>
        <v>%</v>
      </c>
      <c r="I146" s="141"/>
      <c r="L146" s="91">
        <f>Assumptions!L31</f>
        <v>0.03</v>
      </c>
      <c r="M146" s="91">
        <f>Assumptions!M31</f>
        <v>0.03</v>
      </c>
      <c r="N146" s="91">
        <f>Assumptions!N31</f>
        <v>0.03</v>
      </c>
      <c r="O146" s="91">
        <f>Assumptions!O31</f>
        <v>0.03</v>
      </c>
      <c r="P146" s="91">
        <f>Assumptions!P31</f>
        <v>0.03</v>
      </c>
      <c r="R146" t="str">
        <f t="shared" ref="R146:R147" ca="1" si="151">IF($R$5=1,_xlfn.FORMULATEXT(P146),"")</f>
        <v/>
      </c>
    </row>
    <row r="147" spans="3:18">
      <c r="D147" t="s">
        <v>123</v>
      </c>
      <c r="E147" t="s">
        <v>126</v>
      </c>
      <c r="K147">
        <f>K153/K141*Million</f>
        <v>165.96153846153842</v>
      </c>
      <c r="L147">
        <f>K147*(1+L146)</f>
        <v>170.94038461538457</v>
      </c>
      <c r="M147">
        <f t="shared" ref="M147:P147" si="152">L147*(1+M146)</f>
        <v>176.0685961538461</v>
      </c>
      <c r="N147">
        <f t="shared" si="152"/>
        <v>181.3506540384615</v>
      </c>
      <c r="O147">
        <f t="shared" si="152"/>
        <v>186.79117365961534</v>
      </c>
      <c r="P147">
        <f t="shared" si="152"/>
        <v>192.39490886940379</v>
      </c>
      <c r="R147" t="str">
        <f t="shared" ca="1" si="151"/>
        <v/>
      </c>
    </row>
    <row r="149" spans="3:18">
      <c r="D149" t="str">
        <f>Assumptions!D33</f>
        <v>Auxilliary Income</v>
      </c>
      <c r="E149" t="str">
        <f>Assumptions!E33</f>
        <v>$'MM</v>
      </c>
      <c r="K149" s="88">
        <f>Assumptions!K33</f>
        <v>20</v>
      </c>
      <c r="L149">
        <f>K149*(1+L150)</f>
        <v>20.6</v>
      </c>
      <c r="M149">
        <f t="shared" ref="M149:P149" si="153">L149*(1+M150)</f>
        <v>21.218000000000004</v>
      </c>
      <c r="N149">
        <f t="shared" si="153"/>
        <v>21.854540000000004</v>
      </c>
      <c r="O149">
        <f t="shared" si="153"/>
        <v>22.510176200000004</v>
      </c>
      <c r="P149">
        <f t="shared" si="153"/>
        <v>23.185481486000004</v>
      </c>
      <c r="R149" t="str">
        <f t="shared" ref="R149:R150" ca="1" si="154">IF($R$5=1,_xlfn.FORMULATEXT(P149),"")</f>
        <v/>
      </c>
    </row>
    <row r="150" spans="3:18">
      <c r="D150" t="str">
        <f>Assumptions!D34</f>
        <v>Inflation</v>
      </c>
      <c r="E150" t="str">
        <f>Assumptions!E34</f>
        <v>%</v>
      </c>
      <c r="L150" s="92">
        <f>Assumptions!L34</f>
        <v>0.03</v>
      </c>
      <c r="M150" s="92">
        <f>Assumptions!M34</f>
        <v>0.03</v>
      </c>
      <c r="N150" s="92">
        <f>Assumptions!N34</f>
        <v>0.03</v>
      </c>
      <c r="O150" s="92">
        <f>Assumptions!O34</f>
        <v>0.03</v>
      </c>
      <c r="P150" s="92">
        <f>Assumptions!P34</f>
        <v>0.03</v>
      </c>
      <c r="R150" t="str">
        <f t="shared" ca="1" si="154"/>
        <v/>
      </c>
    </row>
    <row r="152" spans="3:18">
      <c r="C152" s="113" t="s">
        <v>6</v>
      </c>
      <c r="D152" s="95"/>
      <c r="E152" s="95"/>
      <c r="F152" s="95"/>
      <c r="G152" s="95"/>
      <c r="H152" s="95"/>
      <c r="I152" s="95"/>
      <c r="J152" s="95"/>
      <c r="K152" s="95"/>
      <c r="L152" s="95"/>
      <c r="M152" s="95"/>
      <c r="N152" s="95"/>
      <c r="O152" s="95"/>
      <c r="P152" s="96"/>
    </row>
    <row r="153" spans="3:18">
      <c r="C153" s="100"/>
      <c r="D153" s="98" t="s">
        <v>194</v>
      </c>
      <c r="E153" s="98" t="s">
        <v>126</v>
      </c>
      <c r="F153" s="98"/>
      <c r="G153" s="98"/>
      <c r="H153" s="98"/>
      <c r="I153" s="98"/>
      <c r="J153" s="98"/>
      <c r="K153" s="98">
        <f>K155-K154</f>
        <v>258.89999999999998</v>
      </c>
      <c r="L153" s="98">
        <f>L147*L141/Million</f>
        <v>287.17984615384609</v>
      </c>
      <c r="M153" s="98">
        <f>M147*M141/Million</f>
        <v>316.92347307692296</v>
      </c>
      <c r="N153" s="98">
        <f>N147*N141/Million</f>
        <v>348.19325575384607</v>
      </c>
      <c r="O153" s="98">
        <f>O147*O141/Million</f>
        <v>381.0539942656153</v>
      </c>
      <c r="P153" s="99">
        <f>P147*P141/Million</f>
        <v>400.18141044835988</v>
      </c>
      <c r="R153" t="str">
        <f t="shared" ref="R153:R155" ca="1" si="155">IF($R$5=1,_xlfn.FORMULATEXT(P153),"")</f>
        <v/>
      </c>
    </row>
    <row r="154" spans="3:18">
      <c r="C154" s="100"/>
      <c r="D154" s="98" t="s">
        <v>195</v>
      </c>
      <c r="E154" s="98" t="s">
        <v>126</v>
      </c>
      <c r="F154" s="98"/>
      <c r="G154" s="98"/>
      <c r="H154" s="98"/>
      <c r="I154" s="98"/>
      <c r="J154" s="98"/>
      <c r="K154" s="88">
        <f t="shared" ref="K154:P154" si="156">K149</f>
        <v>20</v>
      </c>
      <c r="L154" s="98">
        <f t="shared" si="156"/>
        <v>20.6</v>
      </c>
      <c r="M154" s="98">
        <f t="shared" si="156"/>
        <v>21.218000000000004</v>
      </c>
      <c r="N154" s="98">
        <f t="shared" si="156"/>
        <v>21.854540000000004</v>
      </c>
      <c r="O154" s="98">
        <f t="shared" si="156"/>
        <v>22.510176200000004</v>
      </c>
      <c r="P154" s="99">
        <f t="shared" si="156"/>
        <v>23.185481486000004</v>
      </c>
      <c r="R154" t="str">
        <f t="shared" ca="1" si="155"/>
        <v/>
      </c>
    </row>
    <row r="155" spans="3:18" s="70" customFormat="1">
      <c r="C155" s="106"/>
      <c r="D155" s="107" t="s">
        <v>84</v>
      </c>
      <c r="E155" s="107" t="s">
        <v>126</v>
      </c>
      <c r="F155" s="107"/>
      <c r="G155" s="107"/>
      <c r="H155" s="107"/>
      <c r="I155" s="107"/>
      <c r="J155" s="107"/>
      <c r="K155" s="107">
        <f>K11</f>
        <v>278.89999999999998</v>
      </c>
      <c r="L155" s="107">
        <f>SUM(L153:L154)</f>
        <v>307.77984615384611</v>
      </c>
      <c r="M155" s="107">
        <f t="shared" ref="M155:P155" si="157">SUM(M153:M154)</f>
        <v>338.14147307692298</v>
      </c>
      <c r="N155" s="107">
        <f t="shared" si="157"/>
        <v>370.04779575384606</v>
      </c>
      <c r="O155" s="107">
        <f t="shared" si="157"/>
        <v>403.56417046561529</v>
      </c>
      <c r="P155" s="108">
        <f t="shared" si="157"/>
        <v>423.3668919343599</v>
      </c>
      <c r="R155" t="str">
        <f t="shared" ca="1" si="155"/>
        <v/>
      </c>
    </row>
    <row r="157" spans="3:18" ht="13.25" thickBot="1">
      <c r="C157" s="85" t="s">
        <v>196</v>
      </c>
      <c r="D157" s="85"/>
      <c r="E157" s="85"/>
      <c r="F157" s="85"/>
      <c r="G157" s="85"/>
      <c r="H157" s="85"/>
      <c r="I157" s="85"/>
      <c r="J157" s="85"/>
      <c r="K157" s="85"/>
      <c r="L157" s="85"/>
      <c r="M157" s="85"/>
      <c r="N157" s="85"/>
      <c r="O157" s="85"/>
      <c r="P157" s="85"/>
    </row>
    <row r="159" spans="3:18">
      <c r="C159" s="70" t="str">
        <f>Assumptions!C37</f>
        <v>Cost of Sales [%]</v>
      </c>
    </row>
    <row r="160" spans="3:18">
      <c r="D160" t="str">
        <f>Assumptions!D38</f>
        <v>Variable Cost</v>
      </c>
      <c r="E160" t="str">
        <f>Assumptions!E38</f>
        <v>%</v>
      </c>
      <c r="K160" s="92">
        <f>Assumptions!K38</f>
        <v>0.6</v>
      </c>
    </row>
    <row r="161" spans="3:18">
      <c r="D161" t="str">
        <f>Assumptions!D39</f>
        <v>Fixed Cost</v>
      </c>
      <c r="E161" t="str">
        <f>Assumptions!E39</f>
        <v>%</v>
      </c>
      <c r="K161" s="92">
        <f>Assumptions!K39</f>
        <v>0.4</v>
      </c>
    </row>
    <row r="162" spans="3:18" s="70" customFormat="1">
      <c r="D162" s="70" t="s">
        <v>132</v>
      </c>
      <c r="E162" s="70" t="str">
        <f>Assumptions!E40</f>
        <v>%</v>
      </c>
      <c r="K162" s="112">
        <f>SUM(K160:K161)</f>
        <v>1</v>
      </c>
    </row>
    <row r="163" spans="3:18">
      <c r="C163" s="70" t="s">
        <v>101</v>
      </c>
      <c r="K163" s="102"/>
    </row>
    <row r="164" spans="3:18">
      <c r="D164" t="str">
        <f>D150</f>
        <v>Inflation</v>
      </c>
      <c r="E164" t="str">
        <f>E150</f>
        <v>%</v>
      </c>
      <c r="K164" s="102"/>
      <c r="L164" s="91">
        <f>L150</f>
        <v>0.03</v>
      </c>
      <c r="M164" s="91">
        <f>M150</f>
        <v>0.03</v>
      </c>
      <c r="N164" s="91">
        <f>N150</f>
        <v>0.03</v>
      </c>
      <c r="O164" s="91">
        <f>O150</f>
        <v>0.03</v>
      </c>
      <c r="P164" s="91">
        <f>P150</f>
        <v>0.03</v>
      </c>
      <c r="R164" t="str">
        <f t="shared" ref="R164:R165" ca="1" si="158">IF($R$5=1,_xlfn.FORMULATEXT(P164),"")</f>
        <v/>
      </c>
    </row>
    <row r="165" spans="3:18">
      <c r="D165" t="str">
        <f>D141</f>
        <v>Current Leasable Areas</v>
      </c>
      <c r="E165" t="str">
        <f>E141</f>
        <v>Square feet</v>
      </c>
      <c r="K165" s="88">
        <f t="shared" ref="K165:P165" si="159">K141</f>
        <v>1560000</v>
      </c>
      <c r="L165" s="88">
        <f t="shared" si="159"/>
        <v>1680000</v>
      </c>
      <c r="M165" s="88">
        <f t="shared" si="159"/>
        <v>1800000</v>
      </c>
      <c r="N165" s="88">
        <f t="shared" si="159"/>
        <v>1920000</v>
      </c>
      <c r="O165" s="88">
        <f t="shared" si="159"/>
        <v>2040000</v>
      </c>
      <c r="P165" s="88">
        <f t="shared" si="159"/>
        <v>2080000</v>
      </c>
      <c r="R165" t="str">
        <f t="shared" ca="1" si="158"/>
        <v/>
      </c>
    </row>
    <row r="167" spans="3:18">
      <c r="C167" s="109" t="s">
        <v>197</v>
      </c>
      <c r="D167" s="98"/>
      <c r="E167" s="98"/>
      <c r="F167" s="98"/>
      <c r="G167" s="98"/>
      <c r="H167" s="98"/>
      <c r="I167" s="98"/>
      <c r="J167" s="98"/>
      <c r="K167" s="98"/>
      <c r="L167" s="98"/>
      <c r="M167" s="98"/>
      <c r="N167" s="98"/>
      <c r="O167" s="98"/>
      <c r="P167" s="98"/>
    </row>
    <row r="168" spans="3:18">
      <c r="C168" s="98"/>
      <c r="D168" s="98" t="s">
        <v>130</v>
      </c>
      <c r="E168" s="98" t="s">
        <v>81</v>
      </c>
      <c r="F168" s="98"/>
      <c r="G168" s="98"/>
      <c r="H168" s="98"/>
      <c r="I168" s="98"/>
      <c r="J168" s="98"/>
      <c r="K168" s="98">
        <f>K173/K165*Million</f>
        <v>39.57692307692308</v>
      </c>
      <c r="L168" s="98">
        <f>K168*(1+L164)</f>
        <v>40.764230769230771</v>
      </c>
      <c r="M168" s="98">
        <f>L168*(1+M164)</f>
        <v>41.987157692307697</v>
      </c>
      <c r="N168" s="98">
        <f>M168*(1+N164)</f>
        <v>43.246772423076926</v>
      </c>
      <c r="O168" s="98">
        <f>N168*(1+O164)</f>
        <v>44.544175595769232</v>
      </c>
      <c r="P168" s="98">
        <f>O168*(1+P164)</f>
        <v>45.880500863642311</v>
      </c>
      <c r="R168" t="str">
        <f t="shared" ref="R168:R170" ca="1" si="160">IF($R$5=1,_xlfn.FORMULATEXT(P168),"")</f>
        <v/>
      </c>
    </row>
    <row r="169" spans="3:18">
      <c r="C169" s="98"/>
      <c r="D169" s="98" t="s">
        <v>131</v>
      </c>
      <c r="E169" s="98" t="s">
        <v>81</v>
      </c>
      <c r="F169" s="98"/>
      <c r="G169" s="98"/>
      <c r="H169" s="98"/>
      <c r="I169" s="98"/>
      <c r="J169" s="98"/>
      <c r="K169" s="98">
        <f>K174/K165*Million</f>
        <v>26.384615384615387</v>
      </c>
      <c r="L169" s="98">
        <f>L174/L165*Million</f>
        <v>25.235000000000003</v>
      </c>
      <c r="M169" s="98">
        <f>M174/M165*Million</f>
        <v>24.25924666666667</v>
      </c>
      <c r="N169" s="98">
        <f t="shared" ref="N169:P169" si="161">N174/N165*Million</f>
        <v>23.425335062500004</v>
      </c>
      <c r="O169" s="98">
        <f t="shared" si="161"/>
        <v>22.708795401764711</v>
      </c>
      <c r="P169" s="98">
        <f t="shared" si="161"/>
        <v>22.940250431821159</v>
      </c>
      <c r="R169" t="str">
        <f t="shared" ca="1" si="160"/>
        <v/>
      </c>
    </row>
    <row r="170" spans="3:18">
      <c r="C170" s="109"/>
      <c r="D170" s="109" t="s">
        <v>132</v>
      </c>
      <c r="E170" s="109" t="s">
        <v>81</v>
      </c>
      <c r="F170" s="109"/>
      <c r="G170" s="109"/>
      <c r="H170" s="109"/>
      <c r="I170" s="109"/>
      <c r="J170" s="109"/>
      <c r="K170" s="109">
        <f>SUM(K168:K169)</f>
        <v>65.961538461538467</v>
      </c>
      <c r="L170" s="109">
        <f t="shared" ref="L170:P170" si="162">SUM(L168:L169)</f>
        <v>65.999230769230778</v>
      </c>
      <c r="M170" s="109">
        <f t="shared" si="162"/>
        <v>66.24640435897436</v>
      </c>
      <c r="N170" s="109">
        <f t="shared" si="162"/>
        <v>66.67210748557693</v>
      </c>
      <c r="O170" s="109">
        <f t="shared" si="162"/>
        <v>67.252970997533936</v>
      </c>
      <c r="P170" s="109">
        <f t="shared" si="162"/>
        <v>68.820751295463467</v>
      </c>
      <c r="R170" t="str">
        <f t="shared" ca="1" si="160"/>
        <v/>
      </c>
    </row>
    <row r="172" spans="3:18">
      <c r="C172" s="113" t="s">
        <v>198</v>
      </c>
      <c r="D172" s="95"/>
      <c r="E172" s="95"/>
      <c r="F172" s="95"/>
      <c r="G172" s="95"/>
      <c r="H172" s="95"/>
      <c r="I172" s="95"/>
      <c r="J172" s="95"/>
      <c r="K172" s="95"/>
      <c r="L172" s="95"/>
      <c r="M172" s="95"/>
      <c r="N172" s="95"/>
      <c r="O172" s="95"/>
      <c r="P172" s="96"/>
    </row>
    <row r="173" spans="3:18">
      <c r="C173" s="100"/>
      <c r="D173" s="98" t="s">
        <v>130</v>
      </c>
      <c r="E173" s="98" t="s">
        <v>126</v>
      </c>
      <c r="F173" s="98"/>
      <c r="G173" s="98"/>
      <c r="H173" s="98"/>
      <c r="I173" s="98"/>
      <c r="J173" s="98"/>
      <c r="K173" s="98">
        <f>$K$175*K160</f>
        <v>61.74</v>
      </c>
      <c r="L173" s="98">
        <f>L168*L165/Million</f>
        <v>68.483907692307696</v>
      </c>
      <c r="M173" s="98">
        <f>M168*M165/Million</f>
        <v>75.576883846153862</v>
      </c>
      <c r="N173" s="98">
        <f>N168*N165/Million</f>
        <v>83.03380305230769</v>
      </c>
      <c r="O173" s="98">
        <f>O168*O165/Million</f>
        <v>90.870118215369246</v>
      </c>
      <c r="P173" s="99">
        <f>P168*P165/Million</f>
        <v>95.431441796376006</v>
      </c>
      <c r="R173" t="str">
        <f t="shared" ref="R173:R175" ca="1" si="163">IF($R$5=1,_xlfn.FORMULATEXT(P173),"")</f>
        <v/>
      </c>
    </row>
    <row r="174" spans="3:18">
      <c r="C174" s="100"/>
      <c r="D174" s="98" t="s">
        <v>131</v>
      </c>
      <c r="E174" s="98" t="s">
        <v>126</v>
      </c>
      <c r="F174" s="98"/>
      <c r="G174" s="98"/>
      <c r="H174" s="98"/>
      <c r="I174" s="98"/>
      <c r="J174" s="98"/>
      <c r="K174" s="98">
        <f>$K$175*K161</f>
        <v>41.160000000000004</v>
      </c>
      <c r="L174" s="98">
        <f>K174*(1+L164)</f>
        <v>42.394800000000004</v>
      </c>
      <c r="M174" s="98">
        <f>L174*(1+M164)</f>
        <v>43.666644000000005</v>
      </c>
      <c r="N174" s="98">
        <f>M174*(1+N164)</f>
        <v>44.976643320000008</v>
      </c>
      <c r="O174" s="98">
        <f>N174*(1+O164)</f>
        <v>46.325942619600006</v>
      </c>
      <c r="P174" s="99">
        <f>O174*(1+P164)</f>
        <v>47.71572089818801</v>
      </c>
      <c r="R174" t="str">
        <f t="shared" ca="1" si="163"/>
        <v/>
      </c>
    </row>
    <row r="175" spans="3:18" s="70" customFormat="1">
      <c r="C175" s="106"/>
      <c r="D175" s="107" t="str">
        <f>D13</f>
        <v>Operating Costs</v>
      </c>
      <c r="E175" s="107" t="s">
        <v>126</v>
      </c>
      <c r="F175" s="107"/>
      <c r="G175" s="107"/>
      <c r="H175" s="107"/>
      <c r="I175" s="107"/>
      <c r="J175" s="107"/>
      <c r="K175" s="116">
        <f>K13</f>
        <v>102.9</v>
      </c>
      <c r="L175" s="107">
        <f>SUM(L173:L174)</f>
        <v>110.8787076923077</v>
      </c>
      <c r="M175" s="107">
        <f t="shared" ref="M175:P175" si="164">SUM(M173:M174)</f>
        <v>119.24352784615387</v>
      </c>
      <c r="N175" s="107">
        <f t="shared" si="164"/>
        <v>128.01044637230768</v>
      </c>
      <c r="O175" s="107">
        <f t="shared" si="164"/>
        <v>137.19606083496924</v>
      </c>
      <c r="P175" s="108">
        <f t="shared" si="164"/>
        <v>143.14716269456403</v>
      </c>
      <c r="R175" t="str">
        <f t="shared" ca="1" si="163"/>
        <v/>
      </c>
    </row>
    <row r="177" spans="3:18">
      <c r="D177" s="114" t="str">
        <f>Assumptions!D42</f>
        <v>Selling, General &amp; Administrative Expenses</v>
      </c>
      <c r="E177" s="75" t="str">
        <f>Assumptions!E42</f>
        <v>$'MM</v>
      </c>
      <c r="F177" s="75"/>
      <c r="G177" s="75"/>
      <c r="H177" s="75"/>
      <c r="I177" s="75"/>
      <c r="J177" s="75"/>
      <c r="K177" s="75"/>
      <c r="L177" s="115">
        <f>Assumptions!L42</f>
        <v>25</v>
      </c>
      <c r="M177" s="75">
        <f>L177*(1+M164)</f>
        <v>25.75</v>
      </c>
      <c r="N177" s="75">
        <f>M177*(1+N164)</f>
        <v>26.522500000000001</v>
      </c>
      <c r="O177" s="75">
        <f>N177*(1+O164)</f>
        <v>27.318175</v>
      </c>
      <c r="P177" s="76">
        <f>O177*(1+P164)</f>
        <v>28.137720250000001</v>
      </c>
      <c r="R177" t="str">
        <f ca="1">IF($R$5=1,_xlfn.FORMULATEXT(P177),"")</f>
        <v/>
      </c>
    </row>
    <row r="179" spans="3:18" ht="8.5" customHeight="1"/>
    <row r="180" spans="3:18" ht="13.25" thickBot="1">
      <c r="C180" s="85" t="s">
        <v>199</v>
      </c>
      <c r="D180" s="85"/>
      <c r="E180" s="85"/>
      <c r="F180" s="85"/>
      <c r="G180" s="85"/>
      <c r="H180" s="85"/>
      <c r="I180" s="85"/>
      <c r="J180" s="85"/>
      <c r="K180" s="85"/>
      <c r="L180" s="85"/>
      <c r="M180" s="85"/>
      <c r="N180" s="85"/>
      <c r="O180" s="85"/>
      <c r="P180" s="85"/>
    </row>
    <row r="181" spans="3:18" ht="6.5" customHeight="1"/>
    <row r="182" spans="3:18">
      <c r="D182" t="str">
        <f>Assumptions!D46</f>
        <v>CAPEX Addition</v>
      </c>
      <c r="E182" t="str">
        <f>Assumptions!E46</f>
        <v>$'MM</v>
      </c>
      <c r="L182" s="88">
        <f>Assumptions!L46</f>
        <v>140</v>
      </c>
      <c r="M182" s="88">
        <f>Assumptions!M46</f>
        <v>140</v>
      </c>
      <c r="N182" s="88">
        <f>Assumptions!N46</f>
        <v>150</v>
      </c>
      <c r="O182" s="88">
        <f>Assumptions!O46</f>
        <v>150</v>
      </c>
      <c r="P182" s="88">
        <f>Assumptions!P46</f>
        <v>150</v>
      </c>
      <c r="R182" t="str">
        <f ca="1">IF($R$5=1,_xlfn.FORMULATEXT(P182),"")</f>
        <v/>
      </c>
    </row>
    <row r="183" spans="3:18">
      <c r="D183" s="114" t="str">
        <f>Assumptions!D47</f>
        <v>Depreciation Method</v>
      </c>
      <c r="E183" s="75" t="str">
        <f>Assumptions!E47</f>
        <v>Declining Balance Method</v>
      </c>
      <c r="F183" s="76"/>
    </row>
    <row r="184" spans="3:18" ht="4.05" customHeight="1"/>
    <row r="185" spans="3:18">
      <c r="C185" s="70" t="str">
        <f>Assumptions!C49</f>
        <v>Useful Life</v>
      </c>
    </row>
    <row r="186" spans="3:18">
      <c r="D186" t="str">
        <f>Assumptions!D50</f>
        <v>Existing Assets</v>
      </c>
      <c r="E186" t="str">
        <f>Assumptions!E50</f>
        <v>Years</v>
      </c>
      <c r="F186" s="92">
        <f>Assumptions!F50</f>
        <v>0.02</v>
      </c>
    </row>
    <row r="187" spans="3:18">
      <c r="D187" t="str">
        <f>Assumptions!D51</f>
        <v>New Assets</v>
      </c>
      <c r="E187" t="str">
        <f>Assumptions!E51</f>
        <v>Years</v>
      </c>
      <c r="F187" s="92">
        <f>Assumptions!F51</f>
        <v>0.1</v>
      </c>
    </row>
    <row r="189" spans="3:18">
      <c r="C189" s="70" t="s">
        <v>200</v>
      </c>
    </row>
    <row r="190" spans="3:18">
      <c r="D190" t="str">
        <f>D84</f>
        <v>Net PP&amp;E</v>
      </c>
      <c r="E190" t="str">
        <f>E84</f>
        <v>$'MM</v>
      </c>
      <c r="K190" s="88">
        <f>K84</f>
        <v>2542.1999999999998</v>
      </c>
    </row>
    <row r="191" spans="3:18">
      <c r="D191" t="s">
        <v>201</v>
      </c>
      <c r="E191" t="s">
        <v>126</v>
      </c>
      <c r="L191">
        <f>($K$190-SUM($K191:K191))*$F$186</f>
        <v>50.843999999999994</v>
      </c>
      <c r="M191">
        <f>($K$190-SUM($K191:L191))*$F$186</f>
        <v>49.827119999999994</v>
      </c>
      <c r="N191">
        <f>($K$190-SUM($K191:M191))*$F$186</f>
        <v>48.830577599999998</v>
      </c>
      <c r="O191">
        <f>($K$190-SUM($K191:N191))*$F$186</f>
        <v>47.853966047999997</v>
      </c>
      <c r="P191">
        <f>($K$190-SUM($K191:O191))*$F$186</f>
        <v>46.896886727039998</v>
      </c>
      <c r="R191" t="str">
        <f ca="1">IF($R$5=1,_xlfn.FORMULATEXT(P191),"")</f>
        <v/>
      </c>
    </row>
    <row r="192" spans="3:18" ht="5.05" customHeight="1"/>
    <row r="193" spans="3:18">
      <c r="C193" s="70" t="s">
        <v>202</v>
      </c>
    </row>
    <row r="194" spans="3:18">
      <c r="D194" t="s">
        <v>203</v>
      </c>
    </row>
    <row r="195" spans="3:18">
      <c r="I195" s="129" t="s">
        <v>140</v>
      </c>
      <c r="J195" s="70" t="s">
        <v>204</v>
      </c>
      <c r="L195" s="82">
        <f>L$5</f>
        <v>2023</v>
      </c>
      <c r="M195" s="82">
        <f t="shared" ref="M195:P195" si="165">M$5</f>
        <v>2024</v>
      </c>
      <c r="N195" s="82">
        <f t="shared" si="165"/>
        <v>2025</v>
      </c>
      <c r="O195" s="82">
        <f t="shared" si="165"/>
        <v>2026</v>
      </c>
      <c r="P195" s="82">
        <f t="shared" si="165"/>
        <v>2027</v>
      </c>
      <c r="R195" t="str">
        <f ca="1">IF($R$5=1,_xlfn.FORMULATEXT(P195),"")</f>
        <v/>
      </c>
    </row>
    <row r="196" spans="3:18" ht="5.2" customHeight="1">
      <c r="K196" s="93"/>
      <c r="L196" s="130"/>
      <c r="M196" s="130"/>
      <c r="N196" s="130"/>
      <c r="O196" s="130"/>
      <c r="P196" s="130"/>
    </row>
    <row r="197" spans="3:18">
      <c r="E197" t="s">
        <v>126</v>
      </c>
      <c r="I197" s="82" cm="1">
        <f t="array" ref="I197:I201">TRANSPOSE($L$195:$P$195)</f>
        <v>2023</v>
      </c>
      <c r="J197" cm="1">
        <f t="array" ref="J197:J201">TRANSPOSE($L$182:$P$182)</f>
        <v>140</v>
      </c>
      <c r="K197" s="100"/>
      <c r="L197" s="98">
        <f>IF(L$195=$I197,$J197*$F$187/2,($J197-SUM($K197:K197))*$F$187)</f>
        <v>7</v>
      </c>
      <c r="M197" s="98">
        <f>IF(M$195=$I197,$J197*$F$187/2,($J197-SUM($K197:L197))*$F$187)</f>
        <v>13.3</v>
      </c>
      <c r="N197" s="98">
        <f>IF(N$195=$I197,$J197*$F$187/2,($J197-SUM($K197:M197))*$F$187)</f>
        <v>11.97</v>
      </c>
      <c r="O197" s="98">
        <f>IF(O$195=$I197,$J197*$F$187/2,($J197-SUM($K197:N197))*$F$187)</f>
        <v>10.773</v>
      </c>
      <c r="P197" s="98">
        <f>IF(P$195=$I197,$J197*$F$187/2,($J197-SUM($K197:O197))*$F$187)</f>
        <v>9.6957000000000004</v>
      </c>
      <c r="R197" t="str">
        <f t="shared" ref="R197:R202" ca="1" si="166">IF($R$5=1,_xlfn.FORMULATEXT(P197),"")</f>
        <v/>
      </c>
    </row>
    <row r="198" spans="3:18">
      <c r="E198" t="s">
        <v>126</v>
      </c>
      <c r="I198" s="82">
        <v>2024</v>
      </c>
      <c r="J198">
        <v>140</v>
      </c>
      <c r="K198" s="100"/>
      <c r="L198" s="98"/>
      <c r="M198" s="98">
        <f>IF(M$195=$I198,$J198*$F$187/2,($J198-SUM($K198:L198))*$F$187)</f>
        <v>7</v>
      </c>
      <c r="N198" s="98">
        <f>IF(N$195=$I198,$J198*$F$187/2,($J198-SUM($K198:M198))*$F$187)</f>
        <v>13.3</v>
      </c>
      <c r="O198" s="98">
        <f>IF(O$195=$I198,$J198*$F$187/2,($J198-SUM($K198:N198))*$F$187)</f>
        <v>11.97</v>
      </c>
      <c r="P198" s="98">
        <f>IF(P$195=$I198,$J198*$F$187/2,($J198-SUM($K198:O198))*$F$187)</f>
        <v>10.773</v>
      </c>
      <c r="R198" t="str">
        <f t="shared" ca="1" si="166"/>
        <v/>
      </c>
    </row>
    <row r="199" spans="3:18">
      <c r="E199" t="s">
        <v>126</v>
      </c>
      <c r="I199" s="82">
        <v>2025</v>
      </c>
      <c r="J199">
        <v>150</v>
      </c>
      <c r="K199" s="100"/>
      <c r="L199" s="98"/>
      <c r="M199" s="98"/>
      <c r="N199" s="98">
        <f>IF(N$195=$I199,$J199*$F$187/2,($J199-SUM($K199:M199))*$F$187)</f>
        <v>7.5</v>
      </c>
      <c r="O199" s="98">
        <f>IF(O$195=$I199,$J199*$F$187/2,($J199-SUM($K199:N199))*$F$187)</f>
        <v>14.25</v>
      </c>
      <c r="P199" s="98">
        <f>IF(P$195=$I199,$J199*$F$187/2,($J199-SUM($K199:O199))*$F$187)</f>
        <v>12.825000000000001</v>
      </c>
      <c r="R199" t="str">
        <f t="shared" ca="1" si="166"/>
        <v/>
      </c>
    </row>
    <row r="200" spans="3:18">
      <c r="E200" t="s">
        <v>126</v>
      </c>
      <c r="I200" s="82">
        <v>2026</v>
      </c>
      <c r="J200">
        <v>150</v>
      </c>
      <c r="K200" s="100"/>
      <c r="L200" s="98"/>
      <c r="M200" s="98"/>
      <c r="N200" s="98"/>
      <c r="O200" s="98">
        <f>IF(O$195=$I200,$J200*$F$187/2,($J200-SUM($K200:N200))*$F$187)</f>
        <v>7.5</v>
      </c>
      <c r="P200" s="98">
        <f>IF(P$195=$I200,$J200*$F$187/2,($J200-SUM($K200:O200))*$F$187)</f>
        <v>14.25</v>
      </c>
      <c r="R200" t="str">
        <f t="shared" ca="1" si="166"/>
        <v/>
      </c>
    </row>
    <row r="201" spans="3:18">
      <c r="E201" t="s">
        <v>126</v>
      </c>
      <c r="I201" s="82">
        <v>2027</v>
      </c>
      <c r="J201">
        <v>150</v>
      </c>
      <c r="K201" s="100"/>
      <c r="L201" s="98"/>
      <c r="M201" s="98"/>
      <c r="N201" s="98"/>
      <c r="O201" s="98"/>
      <c r="P201" s="98">
        <f>IF(P$195=$I201,$J201*$F$187/2,($J201-SUM($K201:O201))*$F$187)</f>
        <v>7.5</v>
      </c>
      <c r="R201" t="str">
        <f t="shared" ca="1" si="166"/>
        <v/>
      </c>
    </row>
    <row r="202" spans="3:18">
      <c r="D202" s="70" t="s">
        <v>203</v>
      </c>
      <c r="E202" t="s">
        <v>126</v>
      </c>
      <c r="K202" s="98"/>
      <c r="L202" s="109">
        <f>SUM(L197:L201)</f>
        <v>7</v>
      </c>
      <c r="M202" s="109">
        <f t="shared" ref="M202:P202" si="167">SUM(M197:M201)</f>
        <v>20.3</v>
      </c>
      <c r="N202" s="109">
        <f t="shared" si="167"/>
        <v>32.770000000000003</v>
      </c>
      <c r="O202" s="109">
        <f t="shared" si="167"/>
        <v>44.493000000000002</v>
      </c>
      <c r="P202" s="109">
        <f t="shared" si="167"/>
        <v>55.043700000000001</v>
      </c>
      <c r="R202" t="str">
        <f t="shared" ca="1" si="166"/>
        <v/>
      </c>
    </row>
    <row r="203" spans="3:18" ht="3.45" customHeight="1"/>
    <row r="204" spans="3:18">
      <c r="C204" s="70" t="s">
        <v>205</v>
      </c>
    </row>
    <row r="205" spans="3:18">
      <c r="D205" t="s">
        <v>203</v>
      </c>
    </row>
    <row r="206" spans="3:18">
      <c r="I206" s="129" t="s">
        <v>140</v>
      </c>
      <c r="J206" s="70" t="s">
        <v>204</v>
      </c>
      <c r="L206" s="82">
        <f>L$5</f>
        <v>2023</v>
      </c>
      <c r="M206" s="82">
        <f t="shared" ref="M206:P206" si="168">M$5</f>
        <v>2024</v>
      </c>
      <c r="N206" s="82">
        <f t="shared" si="168"/>
        <v>2025</v>
      </c>
      <c r="O206" s="82">
        <f t="shared" si="168"/>
        <v>2026</v>
      </c>
      <c r="P206" s="82">
        <f t="shared" si="168"/>
        <v>2027</v>
      </c>
      <c r="R206" t="str">
        <f ca="1">IF($R$5=1,_xlfn.FORMULATEXT(P206),"")</f>
        <v/>
      </c>
    </row>
    <row r="207" spans="3:18" ht="4.5" customHeight="1">
      <c r="K207" s="93"/>
      <c r="L207" s="130"/>
      <c r="M207" s="130"/>
      <c r="N207" s="130"/>
      <c r="O207" s="130"/>
      <c r="P207" s="130"/>
    </row>
    <row r="208" spans="3:18">
      <c r="E208" t="s">
        <v>126</v>
      </c>
      <c r="I208" s="82" cm="1">
        <f t="array" ref="I208:I212">TRANSPOSE($L$195:$P$195)</f>
        <v>2023</v>
      </c>
      <c r="J208" cm="1">
        <f t="array" ref="J208:J212">TRANSPOSE($L$182:$P$182)</f>
        <v>140</v>
      </c>
      <c r="K208" s="100"/>
      <c r="L208" s="98">
        <f>IF(L$206=$I208,$J208*$F$187/2,IF(L$206&lt;$I208,"",($J208-SUM($K208:K208))*$F$187))</f>
        <v>7</v>
      </c>
      <c r="M208" s="98">
        <f>IF(M$206=$I208,$J208*$F$187/2,IF(M$206&lt;$I208,"",($J208-SUM($K208:L208))*$F$187))</f>
        <v>13.3</v>
      </c>
      <c r="N208" s="98">
        <f>IF(N$206=$I208,$J208*$F$187/2,IF(N$206&lt;$I208,"",($J208-SUM($K208:M208))*$F$187))</f>
        <v>11.97</v>
      </c>
      <c r="O208" s="98">
        <f>IF(O$206=$I208,$J208*$F$187/2,IF(O$206&lt;$I208,"",($J208-SUM($K208:N208))*$F$187))</f>
        <v>10.773</v>
      </c>
      <c r="P208" s="98">
        <f>IF(P$206=$I208,$J208*$F$187/2,IF(P$206&lt;$I208,"",($J208-SUM($K208:O208))*$F$187))</f>
        <v>9.6957000000000004</v>
      </c>
      <c r="R208" t="str">
        <f t="shared" ref="R208:R213" ca="1" si="169">IF($R$5=1,_xlfn.FORMULATEXT(P208),"")</f>
        <v/>
      </c>
    </row>
    <row r="209" spans="3:18">
      <c r="E209" t="s">
        <v>126</v>
      </c>
      <c r="I209" s="82">
        <v>2024</v>
      </c>
      <c r="J209">
        <v>140</v>
      </c>
      <c r="K209" s="100"/>
      <c r="L209" s="98" t="str">
        <f>IF(L$206=$I209,$J209*$F$187/2,IF(L$206&lt;$I209,"",($J209-SUM($K209:K209))*$F$187))</f>
        <v/>
      </c>
      <c r="M209" s="98">
        <f>IF(M$206=$I209,$J209*$F$187/2,IF(M$206&lt;$I209,"",($J209-SUM($K209:L209))*$F$187))</f>
        <v>7</v>
      </c>
      <c r="N209" s="98">
        <f>IF(N$206=$I209,$J209*$F$187/2,IF(N$206&lt;$I209,"",($J209-SUM($K209:M209))*$F$187))</f>
        <v>13.3</v>
      </c>
      <c r="O209" s="98">
        <f>IF(O$206=$I209,$J209*$F$187/2,IF(O$206&lt;$I209,"",($J209-SUM($K209:N209))*$F$187))</f>
        <v>11.97</v>
      </c>
      <c r="P209" s="98">
        <f>IF(P$206=$I209,$J209*$F$187/2,IF(P$206&lt;$I209,"",($J209-SUM($K209:O209))*$F$187))</f>
        <v>10.773</v>
      </c>
      <c r="R209" t="str">
        <f t="shared" ca="1" si="169"/>
        <v/>
      </c>
    </row>
    <row r="210" spans="3:18">
      <c r="E210" t="s">
        <v>126</v>
      </c>
      <c r="I210" s="82">
        <v>2025</v>
      </c>
      <c r="J210">
        <v>150</v>
      </c>
      <c r="K210" s="100"/>
      <c r="L210" s="98" t="str">
        <f>IF(L$206=$I210,$J210*$F$187/2,IF(L$206&lt;$I210,"",($J210-SUM($K210:K210))*$F$187))</f>
        <v/>
      </c>
      <c r="M210" s="98" t="str">
        <f>IF(M$206=$I210,$J210*$F$187/2,IF(M$206&lt;$I210,"",($J210-SUM($K210:L210))*$F$187))</f>
        <v/>
      </c>
      <c r="N210" s="98">
        <f>IF(N$206=$I210,$J210*$F$187/2,IF(N$206&lt;$I210,"",($J210-SUM($K210:M210))*$F$187))</f>
        <v>7.5</v>
      </c>
      <c r="O210" s="98">
        <f>IF(O$206=$I210,$J210*$F$187/2,IF(O$206&lt;$I210,"",($J210-SUM($K210:N210))*$F$187))</f>
        <v>14.25</v>
      </c>
      <c r="P210" s="98">
        <f>IF(P$206=$I210,$J210*$F$187/2,IF(P$206&lt;$I210,"",($J210-SUM($K210:O210))*$F$187))</f>
        <v>12.825000000000001</v>
      </c>
      <c r="R210" t="str">
        <f t="shared" ca="1" si="169"/>
        <v/>
      </c>
    </row>
    <row r="211" spans="3:18">
      <c r="E211" t="s">
        <v>126</v>
      </c>
      <c r="I211" s="82">
        <v>2026</v>
      </c>
      <c r="J211">
        <v>150</v>
      </c>
      <c r="K211" s="100"/>
      <c r="L211" s="98" t="str">
        <f>IF(L$206=$I211,$J211*$F$187/2,IF(L$206&lt;$I211,"",($J211-SUM($K211:K211))*$F$187))</f>
        <v/>
      </c>
      <c r="M211" s="98" t="str">
        <f>IF(M$206=$I211,$J211*$F$187/2,IF(M$206&lt;$I211,"",($J211-SUM($K211:L211))*$F$187))</f>
        <v/>
      </c>
      <c r="N211" s="98" t="str">
        <f>IF(N$206=$I211,$J211*$F$187/2,IF(N$206&lt;$I211,"",($J211-SUM($K211:M211))*$F$187))</f>
        <v/>
      </c>
      <c r="O211" s="98">
        <f>IF(O$206=$I211,$J211*$F$187/2,IF(O$206&lt;$I211,"",($J211-SUM($K211:N211))*$F$187))</f>
        <v>7.5</v>
      </c>
      <c r="P211" s="98">
        <f>IF(P$206=$I211,$J211*$F$187/2,IF(P$206&lt;$I211,"",($J211-SUM($K211:O211))*$F$187))</f>
        <v>14.25</v>
      </c>
      <c r="R211" t="str">
        <f t="shared" ca="1" si="169"/>
        <v/>
      </c>
    </row>
    <row r="212" spans="3:18">
      <c r="E212" t="s">
        <v>126</v>
      </c>
      <c r="I212" s="82">
        <v>2027</v>
      </c>
      <c r="J212">
        <v>150</v>
      </c>
      <c r="K212" s="100"/>
      <c r="L212" s="98" t="str">
        <f>IF(L$206=$I212,$J212*$F$187/2,IF(L$206&lt;$I212,"",($J212-SUM($K212:K212))*$F$187))</f>
        <v/>
      </c>
      <c r="M212" s="98" t="str">
        <f>IF(M$206=$I212,$J212*$F$187/2,IF(M$206&lt;$I212,"",($J212-SUM($K212:L212))*$F$187))</f>
        <v/>
      </c>
      <c r="N212" s="98" t="str">
        <f>IF(N$206=$I212,$J212*$F$187/2,IF(N$206&lt;$I212,"",($J212-SUM($K212:M212))*$F$187))</f>
        <v/>
      </c>
      <c r="O212" s="98" t="str">
        <f>IF(O$206=$I212,$J212*$F$187/2,IF(O$206&lt;$I212,"",($J212-SUM($K212:N212))*$F$187))</f>
        <v/>
      </c>
      <c r="P212" s="98">
        <f>IF(P$206=$I212,$J212*$F$187/2,IF(P$206&lt;$I212,"",($J212-SUM($K212:O212))*$F$187))</f>
        <v>7.5</v>
      </c>
      <c r="R212" t="str">
        <f t="shared" ca="1" si="169"/>
        <v/>
      </c>
    </row>
    <row r="213" spans="3:18">
      <c r="E213" t="s">
        <v>126</v>
      </c>
      <c r="L213" s="70">
        <f>SUM(L208:L212)</f>
        <v>7</v>
      </c>
      <c r="M213" s="70">
        <f t="shared" ref="M213" si="170">SUM(M208:M212)</f>
        <v>20.3</v>
      </c>
      <c r="N213" s="70">
        <f t="shared" ref="N213" si="171">SUM(N208:N212)</f>
        <v>32.770000000000003</v>
      </c>
      <c r="O213" s="70">
        <f t="shared" ref="O213" si="172">SUM(O208:O212)</f>
        <v>44.493000000000002</v>
      </c>
      <c r="P213" s="70">
        <f t="shared" ref="P213" si="173">SUM(P208:P212)</f>
        <v>55.043700000000001</v>
      </c>
      <c r="R213" t="str">
        <f t="shared" ca="1" si="169"/>
        <v/>
      </c>
    </row>
    <row r="214" spans="3:18" ht="5.05" customHeight="1"/>
    <row r="215" spans="3:18">
      <c r="C215" s="70" t="s">
        <v>206</v>
      </c>
    </row>
    <row r="216" spans="3:18">
      <c r="D216" t="s">
        <v>203</v>
      </c>
    </row>
    <row r="217" spans="3:18">
      <c r="I217" s="129" t="s">
        <v>140</v>
      </c>
      <c r="J217" s="70" t="s">
        <v>204</v>
      </c>
      <c r="L217" s="82">
        <f>L$5</f>
        <v>2023</v>
      </c>
      <c r="M217" s="82">
        <f t="shared" ref="M217:P217" si="174">M$5</f>
        <v>2024</v>
      </c>
      <c r="N217" s="82">
        <f t="shared" si="174"/>
        <v>2025</v>
      </c>
      <c r="O217" s="82">
        <f t="shared" si="174"/>
        <v>2026</v>
      </c>
      <c r="P217" s="82">
        <f t="shared" si="174"/>
        <v>2027</v>
      </c>
      <c r="R217" t="str">
        <f ca="1">IF($R$5=1,_xlfn.FORMULATEXT(P217),"")</f>
        <v/>
      </c>
    </row>
    <row r="218" spans="3:18" ht="7.05" customHeight="1">
      <c r="K218" s="93"/>
      <c r="L218" s="130"/>
      <c r="M218" s="130"/>
      <c r="N218" s="130"/>
      <c r="O218" s="130"/>
      <c r="P218" s="130"/>
    </row>
    <row r="219" spans="3:18">
      <c r="E219" t="s">
        <v>126</v>
      </c>
      <c r="I219" s="82" cm="1">
        <f t="array" ref="I219:I223">TRANSPOSE($L$195:$P$195)</f>
        <v>2023</v>
      </c>
      <c r="J219" cm="1">
        <f t="array" ref="J219:J223">TRANSPOSE($L$182:$P$182)</f>
        <v>140</v>
      </c>
      <c r="K219" s="100"/>
      <c r="L219" s="98">
        <f>$J219*$F$187/2</f>
        <v>7</v>
      </c>
      <c r="M219" s="98">
        <f>($J219-SUM($K219:L219))*$F$187</f>
        <v>13.3</v>
      </c>
      <c r="N219" s="98">
        <f>($J219-SUM($K219:M219))*$F$187</f>
        <v>11.97</v>
      </c>
      <c r="O219" s="98">
        <f>($J219-SUM($K219:N219))*$F$187</f>
        <v>10.773</v>
      </c>
      <c r="P219" s="98">
        <f>($J219-SUM($K219:O219))*$F$187</f>
        <v>9.6957000000000004</v>
      </c>
      <c r="R219" t="str">
        <f t="shared" ref="R219:R224" ca="1" si="175">IF($R$5=1,_xlfn.FORMULATEXT(P219),"")</f>
        <v/>
      </c>
    </row>
    <row r="220" spans="3:18">
      <c r="E220" t="s">
        <v>126</v>
      </c>
      <c r="I220" s="82">
        <v>2024</v>
      </c>
      <c r="J220">
        <v>140</v>
      </c>
      <c r="K220" s="100"/>
      <c r="L220" s="98"/>
      <c r="M220" s="98">
        <f>$J220*$F$187/2</f>
        <v>7</v>
      </c>
      <c r="N220" s="98">
        <f>($J220-SUM($K220:M220))*$F$187</f>
        <v>13.3</v>
      </c>
      <c r="O220" s="98">
        <f>($J220-SUM($K220:N220))*$F$187</f>
        <v>11.97</v>
      </c>
      <c r="P220" s="98">
        <f>($J220-SUM($K220:O220))*$F$187</f>
        <v>10.773</v>
      </c>
      <c r="R220" t="str">
        <f t="shared" ca="1" si="175"/>
        <v/>
      </c>
    </row>
    <row r="221" spans="3:18">
      <c r="E221" t="s">
        <v>126</v>
      </c>
      <c r="I221" s="82">
        <v>2025</v>
      </c>
      <c r="J221">
        <v>150</v>
      </c>
      <c r="K221" s="100"/>
      <c r="L221" s="98"/>
      <c r="M221" s="98"/>
      <c r="N221" s="98">
        <f>$J221*$F$187/2</f>
        <v>7.5</v>
      </c>
      <c r="O221" s="98">
        <f>($J221-SUM($K221:N221))*$F$187</f>
        <v>14.25</v>
      </c>
      <c r="P221" s="98">
        <f>($J221-SUM($K221:O221))*$F$187</f>
        <v>12.825000000000001</v>
      </c>
      <c r="R221" t="str">
        <f t="shared" ca="1" si="175"/>
        <v/>
      </c>
    </row>
    <row r="222" spans="3:18">
      <c r="E222" t="s">
        <v>126</v>
      </c>
      <c r="I222" s="82">
        <v>2026</v>
      </c>
      <c r="J222">
        <v>150</v>
      </c>
      <c r="K222" s="100"/>
      <c r="L222" s="98"/>
      <c r="M222" s="98"/>
      <c r="N222" s="98"/>
      <c r="O222" s="98">
        <f>$J222*$F$187/2</f>
        <v>7.5</v>
      </c>
      <c r="P222" s="98">
        <f>($J222-SUM($K222:O222))*$F$187</f>
        <v>14.25</v>
      </c>
      <c r="R222" t="str">
        <f t="shared" ca="1" si="175"/>
        <v/>
      </c>
    </row>
    <row r="223" spans="3:18">
      <c r="E223" t="s">
        <v>126</v>
      </c>
      <c r="I223" s="82">
        <v>2027</v>
      </c>
      <c r="J223">
        <v>150</v>
      </c>
      <c r="K223" s="100"/>
      <c r="L223" s="98"/>
      <c r="M223" s="98" t="str">
        <f>IF(M$206=$I223,$J223/$F$187/2,IF(M$206&gt;$I223,$J223/$F$187,""))</f>
        <v/>
      </c>
      <c r="N223" s="98" t="str">
        <f>IF(N$206=$I223,$J223/$F$187/2,IF(N$206&gt;$I223,$J223/$F$187,""))</f>
        <v/>
      </c>
      <c r="O223" s="98"/>
      <c r="P223" s="98">
        <f>$J223*$F$187/2</f>
        <v>7.5</v>
      </c>
      <c r="R223" t="str">
        <f t="shared" ca="1" si="175"/>
        <v/>
      </c>
    </row>
    <row r="224" spans="3:18">
      <c r="E224" t="s">
        <v>126</v>
      </c>
      <c r="L224" s="70">
        <f>SUM(L219:L223)</f>
        <v>7</v>
      </c>
      <c r="M224" s="70">
        <f t="shared" ref="M224" si="176">SUM(M219:M223)</f>
        <v>20.3</v>
      </c>
      <c r="N224" s="70">
        <f t="shared" ref="N224" si="177">SUM(N219:N223)</f>
        <v>32.770000000000003</v>
      </c>
      <c r="O224" s="70">
        <f t="shared" ref="O224" si="178">SUM(O219:O223)</f>
        <v>44.493000000000002</v>
      </c>
      <c r="P224" s="70">
        <f t="shared" ref="P224" si="179">SUM(P219:P223)</f>
        <v>55.043700000000001</v>
      </c>
      <c r="R224" t="str">
        <f t="shared" ca="1" si="175"/>
        <v/>
      </c>
    </row>
    <row r="225" spans="3:18" ht="4.5" customHeight="1">
      <c r="L225" s="70"/>
      <c r="M225" s="70"/>
      <c r="N225" s="70"/>
      <c r="O225" s="70"/>
      <c r="P225" s="70"/>
    </row>
    <row r="226" spans="3:18">
      <c r="C226" s="70" t="s">
        <v>269</v>
      </c>
      <c r="L226" s="70"/>
      <c r="M226" s="70"/>
      <c r="N226" s="70"/>
      <c r="O226" s="70"/>
      <c r="P226" s="70"/>
    </row>
    <row r="227" spans="3:18">
      <c r="D227" t="s">
        <v>203</v>
      </c>
    </row>
    <row r="228" spans="3:18">
      <c r="J228" s="129" t="s">
        <v>252</v>
      </c>
      <c r="L228" s="82">
        <f>L$5</f>
        <v>2023</v>
      </c>
      <c r="M228" s="82">
        <f t="shared" ref="M228:P228" si="180">M$5</f>
        <v>2024</v>
      </c>
      <c r="N228" s="82">
        <f t="shared" si="180"/>
        <v>2025</v>
      </c>
      <c r="O228" s="82">
        <f t="shared" si="180"/>
        <v>2026</v>
      </c>
      <c r="P228" s="82">
        <f t="shared" si="180"/>
        <v>2027</v>
      </c>
    </row>
    <row r="229" spans="3:18">
      <c r="I229" s="129" t="s">
        <v>140</v>
      </c>
      <c r="J229" s="70" t="s">
        <v>204</v>
      </c>
      <c r="L229">
        <f>L182</f>
        <v>140</v>
      </c>
      <c r="M229">
        <f>M182</f>
        <v>140</v>
      </c>
      <c r="N229">
        <f>N182</f>
        <v>150</v>
      </c>
      <c r="O229">
        <f>O182</f>
        <v>150</v>
      </c>
      <c r="P229">
        <f>P182</f>
        <v>150</v>
      </c>
      <c r="R229" t="str">
        <f ca="1">IF($R$5=1,_xlfn.FORMULATEXT(P229),"")</f>
        <v/>
      </c>
    </row>
    <row r="230" spans="3:18" ht="7.05" customHeight="1">
      <c r="K230" s="93"/>
      <c r="L230" s="130"/>
      <c r="M230" s="130"/>
      <c r="N230" s="130"/>
      <c r="O230" s="130"/>
      <c r="P230" s="130"/>
    </row>
    <row r="231" spans="3:18">
      <c r="E231" t="s">
        <v>126</v>
      </c>
      <c r="I231" s="82" cm="1">
        <f t="array" ref="I231:I235">TRANSPOSE($L$195:$P$195)</f>
        <v>2023</v>
      </c>
      <c r="J231" cm="1">
        <f t="array" ref="J231:J235">TRANSPOSE($L$182:$P$182)</f>
        <v>140</v>
      </c>
      <c r="K231" s="100"/>
      <c r="L231" s="136">
        <f>IFERROR(DDB($J231,0,10,L$228-$I231+1,1),0)</f>
        <v>14</v>
      </c>
      <c r="M231" s="136">
        <f t="shared" ref="M231:P236" si="181">IFERROR(DDB($J231,0,10,M$228-$I231+1,1),0)</f>
        <v>12.600000000000001</v>
      </c>
      <c r="N231" s="136">
        <f t="shared" si="181"/>
        <v>11.340000000000002</v>
      </c>
      <c r="O231" s="136">
        <f t="shared" si="181"/>
        <v>10.206000000000003</v>
      </c>
      <c r="P231" s="136">
        <f t="shared" si="181"/>
        <v>9.1854000000000013</v>
      </c>
      <c r="R231" t="str">
        <f t="shared" ref="R231:R236" ca="1" si="182">IF($R$5=1,_xlfn.FORMULATEXT(P231),"")</f>
        <v/>
      </c>
    </row>
    <row r="232" spans="3:18">
      <c r="E232" t="s">
        <v>126</v>
      </c>
      <c r="I232" s="82">
        <v>2024</v>
      </c>
      <c r="J232">
        <v>140</v>
      </c>
      <c r="K232" s="100"/>
      <c r="L232" s="136">
        <f t="shared" ref="L232:L236" si="183">IFERROR(DDB($J232,0,10,L$228-$I232+1,1),0)</f>
        <v>0</v>
      </c>
      <c r="M232" s="136">
        <f t="shared" si="181"/>
        <v>14</v>
      </c>
      <c r="N232" s="136">
        <f t="shared" si="181"/>
        <v>12.600000000000001</v>
      </c>
      <c r="O232" s="136">
        <f t="shared" si="181"/>
        <v>11.340000000000002</v>
      </c>
      <c r="P232" s="136">
        <f t="shared" si="181"/>
        <v>10.206000000000003</v>
      </c>
      <c r="R232" t="str">
        <f t="shared" ca="1" si="182"/>
        <v/>
      </c>
    </row>
    <row r="233" spans="3:18">
      <c r="E233" t="s">
        <v>126</v>
      </c>
      <c r="I233" s="82">
        <v>2025</v>
      </c>
      <c r="J233">
        <v>150</v>
      </c>
      <c r="K233" s="100"/>
      <c r="L233" s="136">
        <f t="shared" si="183"/>
        <v>0</v>
      </c>
      <c r="M233" s="136">
        <f t="shared" si="181"/>
        <v>0</v>
      </c>
      <c r="N233" s="136">
        <f t="shared" si="181"/>
        <v>15</v>
      </c>
      <c r="O233" s="136">
        <f t="shared" si="181"/>
        <v>13.5</v>
      </c>
      <c r="P233" s="136">
        <f t="shared" si="181"/>
        <v>12.150000000000002</v>
      </c>
      <c r="R233" t="str">
        <f t="shared" ca="1" si="182"/>
        <v/>
      </c>
    </row>
    <row r="234" spans="3:18">
      <c r="E234" t="s">
        <v>126</v>
      </c>
      <c r="I234" s="82">
        <v>2026</v>
      </c>
      <c r="J234">
        <v>150</v>
      </c>
      <c r="K234" s="100"/>
      <c r="L234" s="136">
        <f t="shared" si="183"/>
        <v>0</v>
      </c>
      <c r="M234" s="136">
        <f t="shared" si="181"/>
        <v>0</v>
      </c>
      <c r="N234" s="136">
        <f t="shared" si="181"/>
        <v>0</v>
      </c>
      <c r="O234" s="136">
        <f t="shared" si="181"/>
        <v>15</v>
      </c>
      <c r="P234" s="136">
        <f t="shared" si="181"/>
        <v>13.5</v>
      </c>
      <c r="R234" t="str">
        <f t="shared" ca="1" si="182"/>
        <v/>
      </c>
    </row>
    <row r="235" spans="3:18">
      <c r="E235" t="s">
        <v>126</v>
      </c>
      <c r="I235" s="82">
        <v>2027</v>
      </c>
      <c r="J235">
        <v>150</v>
      </c>
      <c r="K235" s="100"/>
      <c r="L235" s="136">
        <f t="shared" si="183"/>
        <v>0</v>
      </c>
      <c r="M235" s="136">
        <f t="shared" si="181"/>
        <v>0</v>
      </c>
      <c r="N235" s="136">
        <f t="shared" si="181"/>
        <v>0</v>
      </c>
      <c r="O235" s="136">
        <f t="shared" si="181"/>
        <v>0</v>
      </c>
      <c r="P235" s="136">
        <f t="shared" si="181"/>
        <v>15</v>
      </c>
      <c r="R235" t="str">
        <f t="shared" ca="1" si="182"/>
        <v/>
      </c>
    </row>
    <row r="236" spans="3:18">
      <c r="E236" t="s">
        <v>126</v>
      </c>
      <c r="L236" s="136">
        <f t="shared" si="183"/>
        <v>0</v>
      </c>
      <c r="M236" s="136">
        <f t="shared" si="181"/>
        <v>0</v>
      </c>
      <c r="N236" s="136">
        <f t="shared" si="181"/>
        <v>0</v>
      </c>
      <c r="O236" s="136">
        <f t="shared" si="181"/>
        <v>0</v>
      </c>
      <c r="P236" s="136">
        <f t="shared" si="181"/>
        <v>0</v>
      </c>
      <c r="R236" t="str">
        <f t="shared" ca="1" si="182"/>
        <v/>
      </c>
    </row>
    <row r="237" spans="3:18" ht="4.5" customHeight="1">
      <c r="L237" s="70"/>
      <c r="M237" s="70"/>
      <c r="N237" s="70"/>
      <c r="O237" s="70"/>
      <c r="P237" s="70"/>
    </row>
    <row r="238" spans="3:18">
      <c r="C238" s="70" t="s">
        <v>207</v>
      </c>
      <c r="L238" s="70"/>
      <c r="M238" s="70"/>
      <c r="N238" s="70"/>
      <c r="O238" s="70"/>
      <c r="P238" s="70"/>
    </row>
    <row r="239" spans="3:18">
      <c r="C239" s="70"/>
      <c r="D239" t="str">
        <f>D191</f>
        <v>Depreciation of Existing Assets</v>
      </c>
      <c r="E239" t="s">
        <v>126</v>
      </c>
      <c r="L239">
        <f>L191</f>
        <v>50.843999999999994</v>
      </c>
      <c r="M239">
        <f>M191</f>
        <v>49.827119999999994</v>
      </c>
      <c r="N239">
        <f>N191</f>
        <v>48.830577599999998</v>
      </c>
      <c r="O239">
        <f>O191</f>
        <v>47.853966047999997</v>
      </c>
      <c r="P239">
        <f>P191</f>
        <v>46.896886727039998</v>
      </c>
      <c r="R239" t="str">
        <f t="shared" ref="R239:R241" ca="1" si="184">IF($R$5=1,_xlfn.FORMULATEXT(P239),"")</f>
        <v/>
      </c>
    </row>
    <row r="240" spans="3:18">
      <c r="C240" s="70"/>
      <c r="D240" t="str">
        <f>D202</f>
        <v>Depreciation of New Assets</v>
      </c>
      <c r="E240" t="s">
        <v>126</v>
      </c>
      <c r="L240">
        <f>L202</f>
        <v>7</v>
      </c>
      <c r="M240">
        <f>M202</f>
        <v>20.3</v>
      </c>
      <c r="N240">
        <f>N202</f>
        <v>32.770000000000003</v>
      </c>
      <c r="O240">
        <f>O202</f>
        <v>44.493000000000002</v>
      </c>
      <c r="P240">
        <f>P202</f>
        <v>55.043700000000001</v>
      </c>
      <c r="R240" t="str">
        <f t="shared" ca="1" si="184"/>
        <v/>
      </c>
    </row>
    <row r="241" spans="3:18">
      <c r="D241" s="70" t="s">
        <v>207</v>
      </c>
      <c r="E241" t="s">
        <v>126</v>
      </c>
      <c r="L241" s="70">
        <f>SUM(L239:L240)</f>
        <v>57.843999999999994</v>
      </c>
      <c r="M241" s="70">
        <f t="shared" ref="M241:P241" si="185">SUM(M239:M240)</f>
        <v>70.127119999999991</v>
      </c>
      <c r="N241" s="70">
        <f t="shared" si="185"/>
        <v>81.600577600000008</v>
      </c>
      <c r="O241" s="70">
        <f t="shared" si="185"/>
        <v>92.346966047999999</v>
      </c>
      <c r="P241" s="70">
        <f t="shared" si="185"/>
        <v>101.94058672704</v>
      </c>
      <c r="R241" t="str">
        <f t="shared" ca="1" si="184"/>
        <v/>
      </c>
    </row>
    <row r="243" spans="3:18">
      <c r="C243" s="70" t="s">
        <v>208</v>
      </c>
    </row>
    <row r="244" spans="3:18">
      <c r="D244" t="s">
        <v>209</v>
      </c>
      <c r="E244" t="s">
        <v>126</v>
      </c>
      <c r="L244">
        <f>K247</f>
        <v>2542.1999999999998</v>
      </c>
      <c r="M244">
        <f t="shared" ref="M244:P244" si="186">L247</f>
        <v>2624.3559999999998</v>
      </c>
      <c r="N244">
        <f t="shared" si="186"/>
        <v>2694.2288799999997</v>
      </c>
      <c r="O244">
        <f t="shared" si="186"/>
        <v>2762.6283023999995</v>
      </c>
      <c r="P244">
        <f t="shared" si="186"/>
        <v>2820.2813363519995</v>
      </c>
      <c r="R244" t="str">
        <f t="shared" ref="R244:R247" ca="1" si="187">IF($R$5=1,_xlfn.FORMULATEXT(P244),"")</f>
        <v/>
      </c>
    </row>
    <row r="245" spans="3:18">
      <c r="D245" t="s">
        <v>210</v>
      </c>
      <c r="E245" t="s">
        <v>126</v>
      </c>
      <c r="L245">
        <f>L182</f>
        <v>140</v>
      </c>
      <c r="M245">
        <f>M182</f>
        <v>140</v>
      </c>
      <c r="N245">
        <f>N182</f>
        <v>150</v>
      </c>
      <c r="O245">
        <f>O182</f>
        <v>150</v>
      </c>
      <c r="P245">
        <f>P182</f>
        <v>150</v>
      </c>
      <c r="R245" t="str">
        <f t="shared" ca="1" si="187"/>
        <v/>
      </c>
    </row>
    <row r="246" spans="3:18">
      <c r="D246" t="s">
        <v>211</v>
      </c>
      <c r="E246" t="s">
        <v>126</v>
      </c>
      <c r="L246">
        <f>L241</f>
        <v>57.843999999999994</v>
      </c>
      <c r="M246">
        <f t="shared" ref="M246:P246" si="188">M241</f>
        <v>70.127119999999991</v>
      </c>
      <c r="N246">
        <f t="shared" si="188"/>
        <v>81.600577600000008</v>
      </c>
      <c r="O246">
        <f t="shared" si="188"/>
        <v>92.346966047999999</v>
      </c>
      <c r="P246">
        <f t="shared" si="188"/>
        <v>101.94058672704</v>
      </c>
      <c r="R246" t="str">
        <f t="shared" ca="1" si="187"/>
        <v/>
      </c>
    </row>
    <row r="247" spans="3:18" s="70" customFormat="1">
      <c r="D247" s="70" t="s">
        <v>212</v>
      </c>
      <c r="E247" s="70" t="s">
        <v>126</v>
      </c>
      <c r="K247" s="111">
        <f>K84</f>
        <v>2542.1999999999998</v>
      </c>
      <c r="L247" s="70">
        <f>L244+L245-L246</f>
        <v>2624.3559999999998</v>
      </c>
      <c r="M247" s="70">
        <f t="shared" ref="M247:P247" si="189">M244+M245-M246</f>
        <v>2694.2288799999997</v>
      </c>
      <c r="N247" s="70">
        <f t="shared" si="189"/>
        <v>2762.6283023999995</v>
      </c>
      <c r="O247" s="70">
        <f t="shared" si="189"/>
        <v>2820.2813363519995</v>
      </c>
      <c r="P247" s="70">
        <f t="shared" si="189"/>
        <v>2868.3407496249592</v>
      </c>
      <c r="R247" t="str">
        <f t="shared" ca="1" si="187"/>
        <v/>
      </c>
    </row>
    <row r="248" spans="3:18" ht="5.5" customHeight="1"/>
    <row r="249" spans="3:18" ht="13.25" thickBot="1">
      <c r="C249" s="85" t="s">
        <v>213</v>
      </c>
      <c r="D249" s="85"/>
      <c r="E249" s="85"/>
      <c r="F249" s="85"/>
      <c r="G249" s="85"/>
      <c r="H249" s="85"/>
      <c r="I249" s="85"/>
      <c r="J249" s="85"/>
      <c r="K249" s="85"/>
      <c r="L249" s="85"/>
      <c r="M249" s="85"/>
      <c r="N249" s="85"/>
      <c r="O249" s="85"/>
      <c r="P249" s="85"/>
    </row>
    <row r="251" spans="3:18">
      <c r="D251" t="str">
        <f>Assumptions!D56</f>
        <v>Days in the period</v>
      </c>
      <c r="E251" t="s">
        <v>147</v>
      </c>
      <c r="L251" s="88">
        <f>Assumptions!L56</f>
        <v>365</v>
      </c>
      <c r="M251" s="88">
        <f>Assumptions!M56</f>
        <v>366</v>
      </c>
      <c r="N251" s="88">
        <f>Assumptions!N56</f>
        <v>365</v>
      </c>
      <c r="O251" s="88">
        <f>Assumptions!O56</f>
        <v>365</v>
      </c>
      <c r="P251" s="88">
        <f>Assumptions!P56</f>
        <v>365</v>
      </c>
      <c r="R251" t="str">
        <f ca="1">IF($R$5=1,_xlfn.FORMULATEXT(P251),"")</f>
        <v/>
      </c>
    </row>
    <row r="253" spans="3:18">
      <c r="C253" s="70" t="s">
        <v>214</v>
      </c>
    </row>
    <row r="254" spans="3:18">
      <c r="D254" t="str">
        <f>D11</f>
        <v>Revenue</v>
      </c>
      <c r="E254" t="s">
        <v>126</v>
      </c>
      <c r="K254" s="88">
        <f t="shared" ref="K254:P254" si="190">K11</f>
        <v>278.89999999999998</v>
      </c>
      <c r="L254" s="88">
        <f t="shared" si="190"/>
        <v>307.77984615384611</v>
      </c>
      <c r="M254" s="88">
        <f t="shared" si="190"/>
        <v>338.14147307692298</v>
      </c>
      <c r="N254" s="88">
        <f t="shared" si="190"/>
        <v>370.04779575384606</v>
      </c>
      <c r="O254" s="88">
        <f t="shared" si="190"/>
        <v>403.56417046561529</v>
      </c>
      <c r="P254" s="88">
        <f t="shared" si="190"/>
        <v>423.3668919343599</v>
      </c>
      <c r="R254" t="str">
        <f t="shared" ref="R254:R255" ca="1" si="191">IF($R$5=1,_xlfn.FORMULATEXT(P254),"")</f>
        <v/>
      </c>
    </row>
    <row r="255" spans="3:18">
      <c r="D255" t="str">
        <f>D13</f>
        <v>Operating Costs</v>
      </c>
      <c r="E255" t="s">
        <v>126</v>
      </c>
      <c r="K255" s="88">
        <f t="shared" ref="K255:P255" si="192">K13</f>
        <v>102.9</v>
      </c>
      <c r="L255" s="88">
        <f t="shared" si="192"/>
        <v>110.8787076923077</v>
      </c>
      <c r="M255" s="88">
        <f t="shared" si="192"/>
        <v>119.24352784615387</v>
      </c>
      <c r="N255" s="88">
        <f t="shared" si="192"/>
        <v>128.01044637230768</v>
      </c>
      <c r="O255" s="88">
        <f t="shared" si="192"/>
        <v>137.19606083496924</v>
      </c>
      <c r="P255" s="88">
        <f t="shared" si="192"/>
        <v>143.14716269456403</v>
      </c>
      <c r="R255" t="str">
        <f t="shared" ca="1" si="191"/>
        <v/>
      </c>
    </row>
    <row r="257" spans="3:18">
      <c r="C257" s="70" t="s">
        <v>215</v>
      </c>
    </row>
    <row r="258" spans="3:18">
      <c r="C258" s="70" t="str">
        <f>Assumptions!C70</f>
        <v>Current Assets [days]</v>
      </c>
    </row>
    <row r="259" spans="3:18">
      <c r="D259" t="str">
        <f>Assumptions!D71</f>
        <v>Accounts Receivable</v>
      </c>
      <c r="E259" t="str">
        <f>Assumptions!E71</f>
        <v>days</v>
      </c>
      <c r="L259" s="88">
        <f>Assumptions!L71</f>
        <v>24.25</v>
      </c>
      <c r="M259" s="88">
        <f>Assumptions!M71</f>
        <v>24.25</v>
      </c>
      <c r="N259" s="88">
        <f>Assumptions!N71</f>
        <v>24.25</v>
      </c>
      <c r="O259" s="88">
        <f>Assumptions!O71</f>
        <v>24.25</v>
      </c>
      <c r="P259" s="88">
        <f>Assumptions!P71</f>
        <v>24.25</v>
      </c>
      <c r="R259" t="str">
        <f t="shared" ref="R259:R261" ca="1" si="193">IF($R$5=1,_xlfn.FORMULATEXT(P259),"")</f>
        <v/>
      </c>
    </row>
    <row r="260" spans="3:18">
      <c r="D260" t="str">
        <f>Assumptions!D72</f>
        <v>Inventory</v>
      </c>
      <c r="E260" t="str">
        <f>Assumptions!E72</f>
        <v>days</v>
      </c>
      <c r="L260" s="88">
        <f>Assumptions!L72</f>
        <v>14.32</v>
      </c>
      <c r="M260" s="88">
        <f>Assumptions!M72</f>
        <v>14.32</v>
      </c>
      <c r="N260" s="88">
        <f>Assumptions!N72</f>
        <v>14.32</v>
      </c>
      <c r="O260" s="88">
        <f>Assumptions!O72</f>
        <v>14.32</v>
      </c>
      <c r="P260" s="88">
        <f>Assumptions!P72</f>
        <v>14.32</v>
      </c>
      <c r="R260" t="str">
        <f t="shared" ca="1" si="193"/>
        <v/>
      </c>
    </row>
    <row r="261" spans="3:18">
      <c r="D261" t="str">
        <f>Assumptions!D73</f>
        <v>Other Current Assets</v>
      </c>
      <c r="E261" t="str">
        <f>Assumptions!E73</f>
        <v>days</v>
      </c>
      <c r="L261" s="88">
        <f>Assumptions!L73</f>
        <v>0.99</v>
      </c>
      <c r="M261" s="88">
        <f>Assumptions!M73</f>
        <v>0.99</v>
      </c>
      <c r="N261" s="88">
        <f>Assumptions!N73</f>
        <v>0.99</v>
      </c>
      <c r="O261" s="88">
        <f>Assumptions!O73</f>
        <v>0.99</v>
      </c>
      <c r="P261" s="88">
        <f>Assumptions!P73</f>
        <v>0.99</v>
      </c>
      <c r="R261" t="str">
        <f t="shared" ca="1" si="193"/>
        <v/>
      </c>
    </row>
    <row r="263" spans="3:18">
      <c r="C263" s="70" t="str">
        <f>Assumptions!C75</f>
        <v>Current Liabilities [days]</v>
      </c>
    </row>
    <row r="264" spans="3:18">
      <c r="D264" t="str">
        <f>Assumptions!D76</f>
        <v>Accounts Payable</v>
      </c>
      <c r="E264" t="str">
        <f>Assumptions!E76</f>
        <v>days</v>
      </c>
      <c r="L264" s="88">
        <f>Assumptions!L76</f>
        <v>81.12</v>
      </c>
      <c r="M264" s="88">
        <f>Assumptions!M76</f>
        <v>81.12</v>
      </c>
      <c r="N264" s="88">
        <f>Assumptions!N76</f>
        <v>81.12</v>
      </c>
      <c r="O264" s="88">
        <f>Assumptions!O76</f>
        <v>81.12</v>
      </c>
      <c r="P264" s="88">
        <f>Assumptions!P76</f>
        <v>81.12</v>
      </c>
      <c r="R264" t="str">
        <f t="shared" ref="R264:R265" ca="1" si="194">IF($R$5=1,_xlfn.FORMULATEXT(P264),"")</f>
        <v/>
      </c>
    </row>
    <row r="265" spans="3:18">
      <c r="D265" t="str">
        <f>Assumptions!D77</f>
        <v>Other Current Liabilities</v>
      </c>
      <c r="E265" t="str">
        <f>Assumptions!E77</f>
        <v>days</v>
      </c>
      <c r="L265" s="88">
        <f>Assumptions!L77</f>
        <v>20.079999999999998</v>
      </c>
      <c r="M265" s="88">
        <f>Assumptions!M77</f>
        <v>20.079999999999998</v>
      </c>
      <c r="N265" s="88">
        <f>Assumptions!N77</f>
        <v>20.079999999999998</v>
      </c>
      <c r="O265" s="88">
        <f>Assumptions!O77</f>
        <v>20.079999999999998</v>
      </c>
      <c r="P265" s="88">
        <f>Assumptions!P77</f>
        <v>20.079999999999998</v>
      </c>
      <c r="R265" t="str">
        <f t="shared" ca="1" si="194"/>
        <v/>
      </c>
    </row>
    <row r="267" spans="3:18">
      <c r="C267" s="70" t="s">
        <v>216</v>
      </c>
    </row>
    <row r="268" spans="3:18">
      <c r="C268" s="70" t="s">
        <v>144</v>
      </c>
    </row>
    <row r="269" spans="3:18">
      <c r="D269" t="s">
        <v>46</v>
      </c>
      <c r="E269" t="s">
        <v>126</v>
      </c>
      <c r="K269" s="88">
        <f>K79</f>
        <v>20.2</v>
      </c>
      <c r="L269">
        <f>L259/L$251*L254</f>
        <v>20.448387038988407</v>
      </c>
      <c r="M269">
        <f>M259/M$251*M254</f>
        <v>22.404182300861702</v>
      </c>
      <c r="N269">
        <f>N259/N$251*N254</f>
        <v>24.58536725213909</v>
      </c>
      <c r="O269">
        <f>O259/O$251*O254</f>
        <v>26.812140092578552</v>
      </c>
      <c r="P269">
        <f>P259/P$251*P254</f>
        <v>28.127800354543091</v>
      </c>
      <c r="R269" t="str">
        <f t="shared" ref="R269:R272" ca="1" si="195">IF($R$5=1,_xlfn.FORMULATEXT(P269),"")</f>
        <v/>
      </c>
    </row>
    <row r="270" spans="3:18">
      <c r="D270" t="s">
        <v>47</v>
      </c>
      <c r="E270" t="s">
        <v>126</v>
      </c>
      <c r="K270" s="88">
        <f>K80</f>
        <v>4.2</v>
      </c>
      <c r="L270">
        <f t="shared" ref="L270:P271" si="196">L260/L$251*L$255</f>
        <v>4.350090668914647</v>
      </c>
      <c r="M270">
        <f t="shared" si="196"/>
        <v>4.665484477477932</v>
      </c>
      <c r="N270">
        <f t="shared" si="196"/>
        <v>5.0222180604149207</v>
      </c>
      <c r="O270">
        <f t="shared" si="196"/>
        <v>5.3825961401555054</v>
      </c>
      <c r="P270">
        <f t="shared" si="196"/>
        <v>5.6160749857154979</v>
      </c>
      <c r="R270" t="str">
        <f t="shared" ca="1" si="195"/>
        <v/>
      </c>
    </row>
    <row r="271" spans="3:18">
      <c r="D271" t="s">
        <v>48</v>
      </c>
      <c r="E271" t="s">
        <v>126</v>
      </c>
      <c r="K271" s="88">
        <f>K81</f>
        <v>0.2</v>
      </c>
      <c r="L271">
        <f t="shared" si="196"/>
        <v>0.30073950853530035</v>
      </c>
      <c r="M271">
        <f t="shared" si="196"/>
        <v>0.32254396876418673</v>
      </c>
      <c r="N271">
        <f t="shared" si="196"/>
        <v>0.34720641618790304</v>
      </c>
      <c r="O271">
        <f t="shared" si="196"/>
        <v>0.37212082253868367</v>
      </c>
      <c r="P271">
        <f t="shared" si="196"/>
        <v>0.38826216730854352</v>
      </c>
      <c r="R271" t="str">
        <f t="shared" ca="1" si="195"/>
        <v/>
      </c>
    </row>
    <row r="272" spans="3:18">
      <c r="D272" s="70" t="s">
        <v>49</v>
      </c>
      <c r="E272" t="s">
        <v>126</v>
      </c>
      <c r="K272" s="70">
        <f>SUM(K269:K271)</f>
        <v>24.599999999999998</v>
      </c>
      <c r="L272" s="70">
        <f t="shared" ref="L272:P272" si="197">SUM(L269:L271)</f>
        <v>25.099217216438355</v>
      </c>
      <c r="M272" s="70">
        <f t="shared" si="197"/>
        <v>27.392210747103821</v>
      </c>
      <c r="N272" s="70">
        <f t="shared" si="197"/>
        <v>29.954791728741913</v>
      </c>
      <c r="O272" s="70">
        <f t="shared" si="197"/>
        <v>32.566857055272742</v>
      </c>
      <c r="P272" s="70">
        <f t="shared" si="197"/>
        <v>34.132137507567137</v>
      </c>
      <c r="R272" t="str">
        <f t="shared" ca="1" si="195"/>
        <v/>
      </c>
    </row>
    <row r="274" spans="3:18">
      <c r="C274" s="70" t="s">
        <v>145</v>
      </c>
    </row>
    <row r="275" spans="3:18">
      <c r="D275" t="s">
        <v>58</v>
      </c>
      <c r="E275" t="s">
        <v>126</v>
      </c>
      <c r="K275" s="88">
        <f>K95</f>
        <v>23.9</v>
      </c>
      <c r="L275">
        <f t="shared" ref="L275:P275" si="198">L264/L$251*L$255</f>
        <v>24.642413063013702</v>
      </c>
      <c r="M275">
        <f t="shared" si="198"/>
        <v>26.429057319344267</v>
      </c>
      <c r="N275">
        <f t="shared" si="198"/>
        <v>28.449883314305755</v>
      </c>
      <c r="O275">
        <f t="shared" si="198"/>
        <v>30.491354671048512</v>
      </c>
      <c r="P275">
        <f t="shared" si="198"/>
        <v>31.813966678857632</v>
      </c>
      <c r="R275" t="str">
        <f t="shared" ref="R275:R277" ca="1" si="199">IF($R$5=1,_xlfn.FORMULATEXT(P275),"")</f>
        <v/>
      </c>
    </row>
    <row r="276" spans="3:18">
      <c r="D276" t="s">
        <v>59</v>
      </c>
      <c r="E276" t="s">
        <v>126</v>
      </c>
      <c r="K276" s="88">
        <f>K96</f>
        <v>4.9000000000000004</v>
      </c>
      <c r="L276">
        <f>L265/L$251*L$255</f>
        <v>6.0998478094836672</v>
      </c>
      <c r="M276">
        <f t="shared" ref="M276:P276" si="200">M265/M$251*M$255</f>
        <v>6.5421039321059276</v>
      </c>
      <c r="N276">
        <f t="shared" si="200"/>
        <v>7.0423281182354467</v>
      </c>
      <c r="O276">
        <f t="shared" si="200"/>
        <v>7.5476627440169377</v>
      </c>
      <c r="P276">
        <f t="shared" si="200"/>
        <v>7.8750548682379335</v>
      </c>
      <c r="R276" t="str">
        <f t="shared" ca="1" si="199"/>
        <v/>
      </c>
    </row>
    <row r="277" spans="3:18" s="70" customFormat="1">
      <c r="D277" s="70" t="s">
        <v>60</v>
      </c>
      <c r="E277" s="70" t="s">
        <v>126</v>
      </c>
      <c r="K277" s="70">
        <f>SUM(K275:K276)</f>
        <v>28.799999999999997</v>
      </c>
      <c r="L277" s="70">
        <f t="shared" ref="L277:P277" si="201">SUM(L275:L276)</f>
        <v>30.742260872497368</v>
      </c>
      <c r="M277" s="70">
        <f t="shared" si="201"/>
        <v>32.971161251450198</v>
      </c>
      <c r="N277" s="70">
        <f t="shared" si="201"/>
        <v>35.492211432541204</v>
      </c>
      <c r="O277" s="70">
        <f t="shared" si="201"/>
        <v>38.039017415065452</v>
      </c>
      <c r="P277" s="70">
        <f t="shared" si="201"/>
        <v>39.689021547095564</v>
      </c>
      <c r="R277" t="str">
        <f t="shared" ca="1" si="199"/>
        <v/>
      </c>
    </row>
    <row r="279" spans="3:18" s="70" customFormat="1">
      <c r="D279" s="70" t="s">
        <v>217</v>
      </c>
      <c r="E279" s="70" t="s">
        <v>126</v>
      </c>
      <c r="K279" s="70">
        <f>K272-K277</f>
        <v>-4.1999999999999993</v>
      </c>
      <c r="L279" s="70">
        <f t="shared" ref="L279:P279" si="202">L272-L277</f>
        <v>-5.6430436560590138</v>
      </c>
      <c r="M279" s="70">
        <f t="shared" si="202"/>
        <v>-5.578950504346377</v>
      </c>
      <c r="N279" s="70">
        <f t="shared" si="202"/>
        <v>-5.5374197037992907</v>
      </c>
      <c r="O279" s="70">
        <f t="shared" si="202"/>
        <v>-5.47216035979271</v>
      </c>
      <c r="P279" s="70">
        <f t="shared" si="202"/>
        <v>-5.5568840395284269</v>
      </c>
      <c r="R279" t="str">
        <f t="shared" ref="R279:R280" ca="1" si="203">IF($R$5=1,_xlfn.FORMULATEXT(P279),"")</f>
        <v/>
      </c>
    </row>
    <row r="280" spans="3:18" s="70" customFormat="1">
      <c r="D280" s="74" t="s">
        <v>218</v>
      </c>
      <c r="E280" s="131" t="s">
        <v>126</v>
      </c>
      <c r="F280" s="131"/>
      <c r="G280" s="131"/>
      <c r="H280" s="131"/>
      <c r="I280" s="131"/>
      <c r="J280" s="131"/>
      <c r="K280" s="131"/>
      <c r="L280" s="131">
        <f>K279-L279</f>
        <v>1.4430436560590145</v>
      </c>
      <c r="M280" s="131">
        <f t="shared" ref="M280:P280" si="204">L279-M279</f>
        <v>-6.4093151712636853E-2</v>
      </c>
      <c r="N280" s="131">
        <f t="shared" si="204"/>
        <v>-4.1530800547086244E-2</v>
      </c>
      <c r="O280" s="131">
        <f t="shared" si="204"/>
        <v>-6.5259344006580733E-2</v>
      </c>
      <c r="P280" s="132">
        <f t="shared" si="204"/>
        <v>8.4723679735716928E-2</v>
      </c>
      <c r="R280" t="str">
        <f t="shared" ca="1" si="203"/>
        <v/>
      </c>
    </row>
    <row r="282" spans="3:18" ht="13.25" thickBot="1">
      <c r="C282" s="85" t="s">
        <v>219</v>
      </c>
      <c r="D282" s="85"/>
      <c r="E282" s="85"/>
      <c r="F282" s="85"/>
      <c r="G282" s="85"/>
      <c r="H282" s="85"/>
      <c r="I282" s="85"/>
      <c r="J282" s="85"/>
      <c r="K282" s="85"/>
      <c r="L282" s="85"/>
      <c r="M282" s="85"/>
      <c r="N282" s="85"/>
      <c r="O282" s="85"/>
      <c r="P282" s="85"/>
    </row>
    <row r="283" spans="3:18" ht="5.5" customHeight="1"/>
    <row r="284" spans="3:18">
      <c r="D284" t="str">
        <f>Assumptions!D81</f>
        <v>Company Tax Rate</v>
      </c>
      <c r="E284" t="str">
        <f>Assumptions!E81</f>
        <v>%</v>
      </c>
      <c r="F284" s="92">
        <f>Assumptions!F81</f>
        <v>0.32500000000000001</v>
      </c>
    </row>
    <row r="285" spans="3:18">
      <c r="D285" t="str">
        <f>Assumptions!D82</f>
        <v>Reduction due to timing difference</v>
      </c>
      <c r="E285" t="str">
        <f>Assumptions!E82</f>
        <v>$'MM</v>
      </c>
      <c r="L285" s="88">
        <f>Assumptions!L82</f>
        <v>5</v>
      </c>
      <c r="M285" s="88">
        <f>Assumptions!M82</f>
        <v>5</v>
      </c>
      <c r="N285" s="88">
        <f>Assumptions!N82</f>
        <v>5</v>
      </c>
      <c r="O285" s="88">
        <f>Assumptions!O82</f>
        <v>5</v>
      </c>
      <c r="P285" s="88">
        <f>Assumptions!P82</f>
        <v>5</v>
      </c>
      <c r="R285" t="str">
        <f ca="1">IF($R$5=1,_xlfn.FORMULATEXT(P285),"")</f>
        <v/>
      </c>
    </row>
    <row r="287" spans="3:18">
      <c r="C287" s="70" t="s">
        <v>220</v>
      </c>
    </row>
    <row r="288" spans="3:18">
      <c r="D288" t="s">
        <v>221</v>
      </c>
      <c r="E288" t="s">
        <v>126</v>
      </c>
      <c r="L288">
        <f>L25</f>
        <v>68.258888461538419</v>
      </c>
      <c r="M288">
        <f>M25</f>
        <v>83.939685506818705</v>
      </c>
      <c r="N288">
        <f>N25</f>
        <v>108.17962148208565</v>
      </c>
      <c r="O288">
        <f>O25</f>
        <v>132.47064950785418</v>
      </c>
      <c r="P288">
        <f>P25</f>
        <v>144.5890032921194</v>
      </c>
      <c r="R288" t="str">
        <f t="shared" ref="R288:R290" ca="1" si="205">IF($R$5=1,_xlfn.FORMULATEXT(P288),"")</f>
        <v/>
      </c>
    </row>
    <row r="289" spans="3:18">
      <c r="D289" t="str">
        <f>D285</f>
        <v>Reduction due to timing difference</v>
      </c>
      <c r="E289" t="s">
        <v>126</v>
      </c>
      <c r="L289">
        <f>L285</f>
        <v>5</v>
      </c>
      <c r="M289">
        <f t="shared" ref="M289:P289" si="206">M285</f>
        <v>5</v>
      </c>
      <c r="N289">
        <f t="shared" si="206"/>
        <v>5</v>
      </c>
      <c r="O289">
        <f t="shared" si="206"/>
        <v>5</v>
      </c>
      <c r="P289">
        <f t="shared" si="206"/>
        <v>5</v>
      </c>
      <c r="R289" t="str">
        <f t="shared" ca="1" si="205"/>
        <v/>
      </c>
    </row>
    <row r="290" spans="3:18" s="70" customFormat="1">
      <c r="D290" s="70" t="s">
        <v>222</v>
      </c>
      <c r="E290" s="70" t="s">
        <v>126</v>
      </c>
      <c r="L290" s="70">
        <f>L288-L289</f>
        <v>63.258888461538419</v>
      </c>
      <c r="M290" s="70">
        <f t="shared" ref="M290:P290" si="207">M288-M289</f>
        <v>78.939685506818705</v>
      </c>
      <c r="N290" s="70">
        <f t="shared" si="207"/>
        <v>103.17962148208565</v>
      </c>
      <c r="O290" s="70">
        <f t="shared" si="207"/>
        <v>127.47064950785418</v>
      </c>
      <c r="P290" s="70">
        <f t="shared" si="207"/>
        <v>139.5890032921194</v>
      </c>
      <c r="R290" t="str">
        <f t="shared" ca="1" si="205"/>
        <v/>
      </c>
    </row>
    <row r="291" spans="3:18" s="70" customFormat="1" ht="3.05" customHeight="1">
      <c r="F291" s="118"/>
    </row>
    <row r="292" spans="3:18" s="70" customFormat="1">
      <c r="D292" s="70" t="s">
        <v>223</v>
      </c>
      <c r="E292" s="70" t="s">
        <v>126</v>
      </c>
      <c r="L292" s="70">
        <f>L288*$F$284</f>
        <v>22.184138749999988</v>
      </c>
      <c r="M292" s="70">
        <f t="shared" ref="M292:P292" si="208">M288*$F$284</f>
        <v>27.28039778971608</v>
      </c>
      <c r="N292" s="70">
        <f t="shared" si="208"/>
        <v>35.15837698167784</v>
      </c>
      <c r="O292" s="70">
        <f t="shared" si="208"/>
        <v>43.052961090052612</v>
      </c>
      <c r="P292" s="70">
        <f t="shared" si="208"/>
        <v>46.991426069938804</v>
      </c>
      <c r="R292" t="str">
        <f ca="1">IF($R$5=1,_xlfn.FORMULATEXT(P292),"")</f>
        <v/>
      </c>
    </row>
    <row r="294" spans="3:18">
      <c r="D294" s="93" t="s">
        <v>224</v>
      </c>
      <c r="E294" s="95" t="s">
        <v>126</v>
      </c>
      <c r="F294" s="95"/>
      <c r="G294" s="95"/>
      <c r="H294" s="95"/>
      <c r="I294" s="95"/>
      <c r="J294" s="95"/>
      <c r="K294" s="95"/>
      <c r="L294" s="95">
        <f>L290*$F$284</f>
        <v>20.559138749999988</v>
      </c>
      <c r="M294" s="95">
        <f t="shared" ref="M294:P294" si="209">M290*$F$284</f>
        <v>25.65539778971608</v>
      </c>
      <c r="N294" s="95">
        <f t="shared" si="209"/>
        <v>33.53337698167784</v>
      </c>
      <c r="O294" s="95">
        <f t="shared" si="209"/>
        <v>41.427961090052605</v>
      </c>
      <c r="P294" s="96">
        <f t="shared" si="209"/>
        <v>45.366426069938804</v>
      </c>
      <c r="R294" t="str">
        <f t="shared" ref="R294:R296" ca="1" si="210">IF($R$5=1,_xlfn.FORMULATEXT(P294),"")</f>
        <v/>
      </c>
    </row>
    <row r="295" spans="3:18">
      <c r="D295" s="100" t="s">
        <v>225</v>
      </c>
      <c r="E295" s="98" t="s">
        <v>126</v>
      </c>
      <c r="F295" s="98"/>
      <c r="G295" s="98"/>
      <c r="H295" s="98"/>
      <c r="I295" s="98"/>
      <c r="J295" s="98"/>
      <c r="K295" s="98"/>
      <c r="L295" s="98">
        <f>L289*$F$284</f>
        <v>1.625</v>
      </c>
      <c r="M295" s="98">
        <f t="shared" ref="M295:P295" si="211">M289*$F$284</f>
        <v>1.625</v>
      </c>
      <c r="N295" s="98">
        <f t="shared" si="211"/>
        <v>1.625</v>
      </c>
      <c r="O295" s="98">
        <f t="shared" si="211"/>
        <v>1.625</v>
      </c>
      <c r="P295" s="99">
        <f t="shared" si="211"/>
        <v>1.625</v>
      </c>
      <c r="R295" t="str">
        <f t="shared" ca="1" si="210"/>
        <v/>
      </c>
    </row>
    <row r="296" spans="3:18" s="70" customFormat="1">
      <c r="D296" s="106" t="s">
        <v>226</v>
      </c>
      <c r="E296" s="107" t="s">
        <v>126</v>
      </c>
      <c r="F296" s="107"/>
      <c r="G296" s="107"/>
      <c r="H296" s="107"/>
      <c r="I296" s="107"/>
      <c r="J296" s="107"/>
      <c r="K296" s="107"/>
      <c r="L296" s="107">
        <f>SUM(L294:L295)</f>
        <v>22.184138749999988</v>
      </c>
      <c r="M296" s="107">
        <f t="shared" ref="M296:P296" si="212">SUM(M294:M295)</f>
        <v>27.28039778971608</v>
      </c>
      <c r="N296" s="107">
        <f t="shared" si="212"/>
        <v>35.15837698167784</v>
      </c>
      <c r="O296" s="107">
        <f t="shared" si="212"/>
        <v>43.052961090052605</v>
      </c>
      <c r="P296" s="108">
        <f t="shared" si="212"/>
        <v>46.991426069938804</v>
      </c>
      <c r="R296" t="str">
        <f t="shared" ca="1" si="210"/>
        <v/>
      </c>
    </row>
    <row r="298" spans="3:18">
      <c r="D298" t="s">
        <v>227</v>
      </c>
      <c r="L298" s="117">
        <f>L292-L296</f>
        <v>0</v>
      </c>
      <c r="M298" s="117">
        <f t="shared" ref="M298:P298" si="213">M292-M296</f>
        <v>0</v>
      </c>
      <c r="N298" s="117">
        <f t="shared" si="213"/>
        <v>0</v>
      </c>
      <c r="O298" s="117">
        <f t="shared" si="213"/>
        <v>0</v>
      </c>
      <c r="P298" s="117">
        <f t="shared" si="213"/>
        <v>0</v>
      </c>
      <c r="R298" t="str">
        <f ca="1">IF($R$5=1,_xlfn.FORMULATEXT(P298),"")</f>
        <v/>
      </c>
    </row>
    <row r="300" spans="3:18" ht="13.25" thickBot="1">
      <c r="C300" s="85" t="s">
        <v>228</v>
      </c>
      <c r="D300" s="85"/>
      <c r="E300" s="85"/>
      <c r="F300" s="85"/>
      <c r="G300" s="85"/>
      <c r="H300" s="85"/>
      <c r="I300" s="85"/>
      <c r="J300" s="85"/>
      <c r="K300" s="85"/>
      <c r="L300" s="85"/>
      <c r="M300" s="85"/>
      <c r="N300" s="85"/>
      <c r="O300" s="85"/>
      <c r="P300" s="85"/>
    </row>
    <row r="302" spans="3:18">
      <c r="C302" s="70" t="str">
        <f>Assumptions!C104</f>
        <v>Common Shares</v>
      </c>
    </row>
    <row r="303" spans="3:18">
      <c r="D303" t="str">
        <f>Assumptions!D105</f>
        <v>Common Shares: Issuance/(Buyback)</v>
      </c>
      <c r="E303" t="s">
        <v>126</v>
      </c>
      <c r="L303" s="88">
        <f>Assumptions!L105</f>
        <v>-10</v>
      </c>
      <c r="M303" s="88">
        <f>Assumptions!M105</f>
        <v>-10</v>
      </c>
      <c r="N303" s="88">
        <f>Assumptions!N105</f>
        <v>0</v>
      </c>
      <c r="O303" s="88">
        <f>Assumptions!O105</f>
        <v>0</v>
      </c>
      <c r="P303" s="88">
        <f>Assumptions!P105</f>
        <v>0</v>
      </c>
      <c r="R303" t="str">
        <f ca="1">IF($R$5=1,_xlfn.FORMULATEXT(P303),"")</f>
        <v/>
      </c>
    </row>
    <row r="304" spans="3:18">
      <c r="D304" t="str">
        <f>Assumptions!D106</f>
        <v>Dividend Payout ratio</v>
      </c>
      <c r="E304" t="str">
        <f>Assumptions!E106</f>
        <v>%</v>
      </c>
      <c r="F304" s="92">
        <f>Assumptions!F106</f>
        <v>0.21</v>
      </c>
    </row>
    <row r="306" spans="3:18">
      <c r="D306" t="s">
        <v>229</v>
      </c>
      <c r="E306" t="s">
        <v>126</v>
      </c>
      <c r="L306">
        <f>K308</f>
        <v>1643.2</v>
      </c>
      <c r="M306">
        <f t="shared" ref="M306:P306" si="214">L308</f>
        <v>1633.2</v>
      </c>
      <c r="N306">
        <f t="shared" si="214"/>
        <v>1623.2</v>
      </c>
      <c r="O306">
        <f t="shared" si="214"/>
        <v>1623.2</v>
      </c>
      <c r="P306">
        <f t="shared" si="214"/>
        <v>1623.2</v>
      </c>
      <c r="R306" t="str">
        <f t="shared" ref="R306:R308" ca="1" si="215">IF($R$5=1,_xlfn.FORMULATEXT(P306),"")</f>
        <v/>
      </c>
    </row>
    <row r="307" spans="3:18">
      <c r="D307" t="s">
        <v>230</v>
      </c>
      <c r="E307" t="s">
        <v>126</v>
      </c>
      <c r="L307">
        <f>L303</f>
        <v>-10</v>
      </c>
      <c r="M307">
        <f t="shared" ref="M307:P307" si="216">M303</f>
        <v>-10</v>
      </c>
      <c r="N307">
        <f t="shared" si="216"/>
        <v>0</v>
      </c>
      <c r="O307">
        <f t="shared" si="216"/>
        <v>0</v>
      </c>
      <c r="P307">
        <f t="shared" si="216"/>
        <v>0</v>
      </c>
      <c r="R307" t="str">
        <f t="shared" ca="1" si="215"/>
        <v/>
      </c>
    </row>
    <row r="308" spans="3:18" s="70" customFormat="1">
      <c r="D308" s="70" t="s">
        <v>212</v>
      </c>
      <c r="E308" s="70" t="s">
        <v>126</v>
      </c>
      <c r="K308" s="111">
        <f>K108</f>
        <v>1643.2</v>
      </c>
      <c r="L308" s="70">
        <f>SUM(L306:L307)</f>
        <v>1633.2</v>
      </c>
      <c r="M308" s="70">
        <f t="shared" ref="M308:P308" si="217">SUM(M306:M307)</f>
        <v>1623.2</v>
      </c>
      <c r="N308" s="70">
        <f t="shared" si="217"/>
        <v>1623.2</v>
      </c>
      <c r="O308" s="70">
        <f t="shared" si="217"/>
        <v>1623.2</v>
      </c>
      <c r="P308" s="70">
        <f t="shared" si="217"/>
        <v>1623.2</v>
      </c>
      <c r="R308" t="str">
        <f t="shared" ca="1" si="215"/>
        <v/>
      </c>
    </row>
    <row r="310" spans="3:18">
      <c r="C310" s="70" t="str">
        <f>Assumptions!C108</f>
        <v>Preference Shares</v>
      </c>
    </row>
    <row r="311" spans="3:18">
      <c r="D311" t="str">
        <f>Assumptions!D109</f>
        <v>Preference Shares: Issuance/(Buyback)</v>
      </c>
      <c r="E311" t="s">
        <v>126</v>
      </c>
      <c r="L311" s="88">
        <f>Assumptions!L109</f>
        <v>0</v>
      </c>
      <c r="M311" s="88">
        <f>Assumptions!M109</f>
        <v>400</v>
      </c>
      <c r="N311" s="88">
        <f>Assumptions!N109</f>
        <v>400</v>
      </c>
      <c r="O311" s="88">
        <f>Assumptions!O109</f>
        <v>0</v>
      </c>
      <c r="P311" s="88">
        <f>Assumptions!P109</f>
        <v>0</v>
      </c>
      <c r="R311" t="str">
        <f ca="1">IF($R$5=1,_xlfn.FORMULATEXT(P311),"")</f>
        <v/>
      </c>
    </row>
    <row r="312" spans="3:18">
      <c r="D312" t="str">
        <f>Assumptions!D110</f>
        <v>Dividend Yield</v>
      </c>
      <c r="E312" t="s">
        <v>87</v>
      </c>
      <c r="F312" s="91">
        <f>Assumptions!F110</f>
        <v>0.08</v>
      </c>
    </row>
    <row r="314" spans="3:18">
      <c r="D314" t="s">
        <v>229</v>
      </c>
      <c r="E314" t="s">
        <v>126</v>
      </c>
      <c r="L314">
        <f>K316</f>
        <v>0</v>
      </c>
      <c r="M314">
        <f t="shared" ref="M314:P314" si="218">L316</f>
        <v>0</v>
      </c>
      <c r="N314">
        <f t="shared" si="218"/>
        <v>400</v>
      </c>
      <c r="O314">
        <f t="shared" si="218"/>
        <v>800</v>
      </c>
      <c r="P314">
        <f t="shared" si="218"/>
        <v>800</v>
      </c>
      <c r="R314" t="str">
        <f t="shared" ref="R314:R316" ca="1" si="219">IF($R$5=1,_xlfn.FORMULATEXT(P314),"")</f>
        <v/>
      </c>
    </row>
    <row r="315" spans="3:18">
      <c r="D315" t="s">
        <v>231</v>
      </c>
      <c r="E315" t="s">
        <v>126</v>
      </c>
      <c r="L315">
        <f>L311</f>
        <v>0</v>
      </c>
      <c r="M315">
        <f t="shared" ref="M315:P315" si="220">M311</f>
        <v>400</v>
      </c>
      <c r="N315">
        <f t="shared" si="220"/>
        <v>400</v>
      </c>
      <c r="O315">
        <f t="shared" si="220"/>
        <v>0</v>
      </c>
      <c r="P315">
        <f t="shared" si="220"/>
        <v>0</v>
      </c>
      <c r="R315" t="str">
        <f t="shared" ca="1" si="219"/>
        <v/>
      </c>
    </row>
    <row r="316" spans="3:18" s="70" customFormat="1">
      <c r="D316" s="70" t="s">
        <v>212</v>
      </c>
      <c r="E316" s="70" t="s">
        <v>126</v>
      </c>
      <c r="K316" s="111">
        <f>K107</f>
        <v>0</v>
      </c>
      <c r="L316" s="70">
        <f>SUM(L314:L315)</f>
        <v>0</v>
      </c>
      <c r="M316" s="70">
        <f t="shared" ref="M316:P316" si="221">SUM(M314:M315)</f>
        <v>400</v>
      </c>
      <c r="N316" s="70">
        <f t="shared" si="221"/>
        <v>800</v>
      </c>
      <c r="O316" s="70">
        <f t="shared" si="221"/>
        <v>800</v>
      </c>
      <c r="P316" s="70">
        <f t="shared" si="221"/>
        <v>800</v>
      </c>
      <c r="R316" t="str">
        <f t="shared" ca="1" si="219"/>
        <v/>
      </c>
    </row>
    <row r="318" spans="3:18">
      <c r="D318" s="114" t="s">
        <v>37</v>
      </c>
      <c r="E318" s="75" t="s">
        <v>126</v>
      </c>
      <c r="F318" s="75"/>
      <c r="G318" s="75"/>
      <c r="H318" s="75"/>
      <c r="I318" s="75"/>
      <c r="J318" s="75"/>
      <c r="K318" s="75"/>
      <c r="L318" s="75">
        <f>L316*$F$312</f>
        <v>0</v>
      </c>
      <c r="M318" s="75">
        <f t="shared" ref="M318:P318" si="222">M316*$F$312</f>
        <v>32</v>
      </c>
      <c r="N318" s="75">
        <f t="shared" si="222"/>
        <v>64</v>
      </c>
      <c r="O318" s="75">
        <f t="shared" si="222"/>
        <v>64</v>
      </c>
      <c r="P318" s="76">
        <f t="shared" si="222"/>
        <v>64</v>
      </c>
      <c r="R318" t="str">
        <f ca="1">IF($R$5=1,_xlfn.FORMULATEXT(P318),"")</f>
        <v/>
      </c>
    </row>
    <row r="320" spans="3:18">
      <c r="C320" s="70" t="s">
        <v>68</v>
      </c>
    </row>
    <row r="321" spans="3:18">
      <c r="D321" t="s">
        <v>229</v>
      </c>
      <c r="E321" t="s">
        <v>126</v>
      </c>
      <c r="L321">
        <f>K324</f>
        <v>245.00000000000003</v>
      </c>
      <c r="M321">
        <f t="shared" ref="M321:P321" si="223">L324</f>
        <v>281.3990522721154</v>
      </c>
      <c r="N321">
        <f t="shared" si="223"/>
        <v>300.87988956862648</v>
      </c>
      <c r="O321">
        <f t="shared" si="223"/>
        <v>308.00667272394867</v>
      </c>
      <c r="P321">
        <f t="shared" si="223"/>
        <v>328.08664657401192</v>
      </c>
      <c r="R321" t="str">
        <f t="shared" ref="R321:R324" ca="1" si="224">IF($R$5=1,_xlfn.FORMULATEXT(P321),"")</f>
        <v/>
      </c>
    </row>
    <row r="322" spans="3:18">
      <c r="D322" t="s">
        <v>232</v>
      </c>
      <c r="E322" t="s">
        <v>126</v>
      </c>
      <c r="L322">
        <f>L34</f>
        <v>46.074749711538431</v>
      </c>
      <c r="M322">
        <f>M34</f>
        <v>24.659287717102629</v>
      </c>
      <c r="N322">
        <f>N34</f>
        <v>9.0212445004078177</v>
      </c>
      <c r="O322">
        <f>O34</f>
        <v>25.417688417801571</v>
      </c>
      <c r="P322">
        <f>P34</f>
        <v>33.597577222180604</v>
      </c>
      <c r="R322" t="str">
        <f t="shared" ca="1" si="224"/>
        <v/>
      </c>
    </row>
    <row r="323" spans="3:18">
      <c r="D323" t="s">
        <v>233</v>
      </c>
      <c r="E323" t="s">
        <v>126</v>
      </c>
      <c r="L323">
        <f>MAX(L322*$F$304,0)</f>
        <v>9.6756974394230699</v>
      </c>
      <c r="M323">
        <f t="shared" ref="M323:P323" si="225">MAX(M322*$F$304,0)</f>
        <v>5.1784504205915516</v>
      </c>
      <c r="N323">
        <f t="shared" si="225"/>
        <v>1.8944613450856416</v>
      </c>
      <c r="O323">
        <f t="shared" si="225"/>
        <v>5.3377145677383293</v>
      </c>
      <c r="P323">
        <f t="shared" si="225"/>
        <v>7.0554912166579262</v>
      </c>
      <c r="R323" t="str">
        <f t="shared" ca="1" si="224"/>
        <v/>
      </c>
    </row>
    <row r="324" spans="3:18" s="70" customFormat="1">
      <c r="D324" s="70" t="s">
        <v>212</v>
      </c>
      <c r="E324" s="70" t="s">
        <v>126</v>
      </c>
      <c r="K324" s="111">
        <f>K109</f>
        <v>245.00000000000003</v>
      </c>
      <c r="L324" s="70">
        <f>L321+L322-L323</f>
        <v>281.3990522721154</v>
      </c>
      <c r="M324" s="70">
        <f t="shared" ref="M324:P324" si="226">M321+M322-M323</f>
        <v>300.87988956862648</v>
      </c>
      <c r="N324" s="70">
        <f t="shared" si="226"/>
        <v>308.00667272394867</v>
      </c>
      <c r="O324" s="70">
        <f t="shared" si="226"/>
        <v>328.08664657401192</v>
      </c>
      <c r="P324" s="70">
        <f t="shared" si="226"/>
        <v>354.62873257953464</v>
      </c>
      <c r="R324" t="str">
        <f t="shared" ca="1" si="224"/>
        <v/>
      </c>
    </row>
    <row r="326" spans="3:18" ht="13.25" thickBot="1">
      <c r="C326" s="85" t="s">
        <v>234</v>
      </c>
      <c r="D326" s="85"/>
      <c r="E326" s="85"/>
      <c r="F326" s="85"/>
      <c r="G326" s="85"/>
      <c r="H326" s="85"/>
      <c r="I326" s="85"/>
      <c r="J326" s="85"/>
      <c r="K326" s="85"/>
      <c r="L326" s="85"/>
      <c r="M326" s="85"/>
      <c r="N326" s="85"/>
      <c r="O326" s="85"/>
      <c r="P326" s="85"/>
    </row>
    <row r="328" spans="3:18">
      <c r="C328" s="70" t="s">
        <v>235</v>
      </c>
    </row>
    <row r="329" spans="3:18">
      <c r="D329" t="str">
        <f>Assumptions!D87</f>
        <v>Fixed Rate Longterm Debt</v>
      </c>
      <c r="E329" t="str">
        <f>Assumptions!E87</f>
        <v>%</v>
      </c>
      <c r="F329" s="92">
        <f>Assumptions!F87</f>
        <v>6.5000000000000002E-2</v>
      </c>
    </row>
    <row r="330" spans="3:18">
      <c r="D330" t="str">
        <f>Assumptions!D97</f>
        <v>Amortization on fixed rate longterm debt</v>
      </c>
      <c r="E330" t="str">
        <f>Assumptions!E97</f>
        <v>$'MM</v>
      </c>
      <c r="L330" s="88">
        <f>Assumptions!L97</f>
        <v>50</v>
      </c>
      <c r="M330" s="88">
        <f>Assumptions!M97</f>
        <v>50</v>
      </c>
      <c r="N330" s="88">
        <f>Assumptions!N97</f>
        <v>50</v>
      </c>
      <c r="O330" s="88">
        <f>Assumptions!O97</f>
        <v>50</v>
      </c>
      <c r="P330" s="88">
        <f>Assumptions!P97</f>
        <v>50</v>
      </c>
      <c r="R330" t="str">
        <f ca="1">IF($R$5=1,_xlfn.FORMULATEXT(P330),"")</f>
        <v/>
      </c>
    </row>
    <row r="332" spans="3:18">
      <c r="D332" t="s">
        <v>229</v>
      </c>
      <c r="E332" t="s">
        <v>126</v>
      </c>
      <c r="L332">
        <f>K334</f>
        <v>224.6</v>
      </c>
      <c r="M332">
        <f t="shared" ref="M332:P332" si="227">L334</f>
        <v>174.6</v>
      </c>
      <c r="N332">
        <f t="shared" si="227"/>
        <v>124.6</v>
      </c>
      <c r="O332">
        <f t="shared" si="227"/>
        <v>74.599999999999994</v>
      </c>
      <c r="P332">
        <f t="shared" si="227"/>
        <v>24.599999999999994</v>
      </c>
      <c r="R332" t="str">
        <f t="shared" ref="R332:R334" ca="1" si="228">IF($R$5=1,_xlfn.FORMULATEXT(P332),"")</f>
        <v/>
      </c>
    </row>
    <row r="333" spans="3:18">
      <c r="D333" t="s">
        <v>236</v>
      </c>
      <c r="E333" t="s">
        <v>126</v>
      </c>
      <c r="L333">
        <f>MIN(L332,L330)</f>
        <v>50</v>
      </c>
      <c r="M333">
        <f t="shared" ref="M333:P333" si="229">MIN(M332,M330)</f>
        <v>50</v>
      </c>
      <c r="N333">
        <f t="shared" si="229"/>
        <v>50</v>
      </c>
      <c r="O333">
        <f t="shared" si="229"/>
        <v>50</v>
      </c>
      <c r="P333">
        <f t="shared" si="229"/>
        <v>24.599999999999994</v>
      </c>
      <c r="R333" t="str">
        <f t="shared" ca="1" si="228"/>
        <v/>
      </c>
    </row>
    <row r="334" spans="3:18" s="70" customFormat="1">
      <c r="D334" s="70" t="s">
        <v>237</v>
      </c>
      <c r="E334" s="70" t="s">
        <v>126</v>
      </c>
      <c r="K334" s="111">
        <f>K100</f>
        <v>224.6</v>
      </c>
      <c r="L334" s="70">
        <f>L332-L333</f>
        <v>174.6</v>
      </c>
      <c r="M334" s="70">
        <f t="shared" ref="M334:P334" si="230">M332-M333</f>
        <v>124.6</v>
      </c>
      <c r="N334" s="70">
        <f t="shared" si="230"/>
        <v>74.599999999999994</v>
      </c>
      <c r="O334" s="70">
        <f t="shared" si="230"/>
        <v>24.599999999999994</v>
      </c>
      <c r="P334" s="70">
        <f t="shared" si="230"/>
        <v>0</v>
      </c>
      <c r="R334" t="str">
        <f t="shared" ca="1" si="228"/>
        <v/>
      </c>
    </row>
    <row r="336" spans="3:18">
      <c r="D336" t="s">
        <v>238</v>
      </c>
      <c r="E336" t="s">
        <v>126</v>
      </c>
      <c r="L336">
        <f>IF(Circularity=1,AVERAGE(K334:L334)*$F$329,K334*$F$329)</f>
        <v>14.599</v>
      </c>
      <c r="M336">
        <f>IF(Circularity=1,AVERAGE(L334:M334)*$F$329,L334*$F$329)</f>
        <v>11.349</v>
      </c>
      <c r="N336">
        <f>IF(Circularity=1,AVERAGE(M334:N334)*$F$329,M334*$F$329)</f>
        <v>8.0990000000000002</v>
      </c>
      <c r="O336">
        <f>IF(Circularity=1,AVERAGE(N334:O334)*$F$329,N334*$F$329)</f>
        <v>4.8490000000000002</v>
      </c>
      <c r="P336">
        <f>IF(Circularity=1,AVERAGE(O334:P334)*$F$329,O334*$F$329)</f>
        <v>1.5989999999999998</v>
      </c>
      <c r="R336" t="str">
        <f ca="1">IF($R$5=1,_xlfn.FORMULATEXT(P336),"")</f>
        <v/>
      </c>
    </row>
    <row r="338" spans="3:18">
      <c r="C338" s="70" t="s">
        <v>239</v>
      </c>
    </row>
    <row r="339" spans="3:18">
      <c r="D339" t="str">
        <f>Assumptions!D93</f>
        <v>Interest Rate on Variable rate longterm debt</v>
      </c>
      <c r="E339" t="s">
        <v>87</v>
      </c>
      <c r="F339" s="92">
        <f>Assumptions!F93</f>
        <v>5.2499999999999998E-2</v>
      </c>
    </row>
    <row r="340" spans="3:18">
      <c r="D340" t="str">
        <f>Assumptions!D98</f>
        <v>Amortization on Variable rate longterm debts</v>
      </c>
      <c r="E340" t="str">
        <f>Assumptions!E98</f>
        <v>$'MM</v>
      </c>
      <c r="L340" s="88">
        <f>Assumptions!L98</f>
        <v>135</v>
      </c>
      <c r="M340" s="88">
        <f>Assumptions!M98</f>
        <v>135</v>
      </c>
      <c r="N340" s="88">
        <f>Assumptions!N98</f>
        <v>135</v>
      </c>
      <c r="O340" s="88">
        <f>Assumptions!O98</f>
        <v>135</v>
      </c>
      <c r="P340" s="88">
        <f>Assumptions!P98</f>
        <v>135</v>
      </c>
      <c r="R340" t="str">
        <f ca="1">IF($R$5=1,_xlfn.FORMULATEXT(P340),"")</f>
        <v/>
      </c>
    </row>
    <row r="342" spans="3:18">
      <c r="D342" t="s">
        <v>229</v>
      </c>
      <c r="E342" t="s">
        <v>126</v>
      </c>
      <c r="L342">
        <f>K344</f>
        <v>622.70000000000005</v>
      </c>
      <c r="M342">
        <f t="shared" ref="M342:P342" si="231">L344</f>
        <v>487.70000000000005</v>
      </c>
      <c r="N342">
        <f t="shared" si="231"/>
        <v>352.70000000000005</v>
      </c>
      <c r="O342">
        <f t="shared" si="231"/>
        <v>217.70000000000005</v>
      </c>
      <c r="P342">
        <f t="shared" si="231"/>
        <v>82.700000000000045</v>
      </c>
      <c r="R342" t="str">
        <f t="shared" ref="R342:R344" ca="1" si="232">IF($R$5=1,_xlfn.FORMULATEXT(P342),"")</f>
        <v/>
      </c>
    </row>
    <row r="343" spans="3:18">
      <c r="D343" t="s">
        <v>240</v>
      </c>
      <c r="E343" t="s">
        <v>126</v>
      </c>
      <c r="L343">
        <f>MIN(L342,L340)</f>
        <v>135</v>
      </c>
      <c r="M343">
        <f t="shared" ref="M343" si="233">MIN(M342,M340)</f>
        <v>135</v>
      </c>
      <c r="N343">
        <f t="shared" ref="N343" si="234">MIN(N342,N340)</f>
        <v>135</v>
      </c>
      <c r="O343">
        <f t="shared" ref="O343" si="235">MIN(O342,O340)</f>
        <v>135</v>
      </c>
      <c r="P343">
        <f t="shared" ref="P343" si="236">MIN(P342,P340)</f>
        <v>82.700000000000045</v>
      </c>
      <c r="R343" t="str">
        <f t="shared" ca="1" si="232"/>
        <v/>
      </c>
    </row>
    <row r="344" spans="3:18">
      <c r="D344" s="70" t="s">
        <v>237</v>
      </c>
      <c r="E344" s="70" t="s">
        <v>126</v>
      </c>
      <c r="F344" s="70"/>
      <c r="G344" s="70"/>
      <c r="H344" s="70"/>
      <c r="I344" s="70"/>
      <c r="J344" s="70"/>
      <c r="K344" s="111">
        <f>K99</f>
        <v>622.70000000000005</v>
      </c>
      <c r="L344" s="70">
        <f>L342-L343</f>
        <v>487.70000000000005</v>
      </c>
      <c r="M344" s="70">
        <f t="shared" ref="M344" si="237">M342-M343</f>
        <v>352.70000000000005</v>
      </c>
      <c r="N344" s="70">
        <f t="shared" ref="N344" si="238">N342-N343</f>
        <v>217.70000000000005</v>
      </c>
      <c r="O344" s="70">
        <f t="shared" ref="O344" si="239">O342-O343</f>
        <v>82.700000000000045</v>
      </c>
      <c r="P344" s="70">
        <f t="shared" ref="P344" si="240">P342-P343</f>
        <v>0</v>
      </c>
      <c r="R344" t="str">
        <f t="shared" ca="1" si="232"/>
        <v/>
      </c>
    </row>
    <row r="346" spans="3:18">
      <c r="D346" t="s">
        <v>238</v>
      </c>
      <c r="E346" t="s">
        <v>126</v>
      </c>
      <c r="L346">
        <f>IF(Circularity=1,AVERAGE(K344:L344)*$F$339,K344*$F$339)</f>
        <v>32.691749999999999</v>
      </c>
      <c r="M346">
        <f>IF(Circularity=1,AVERAGE(L344:M344)*$F$339,L344*$F$339)</f>
        <v>25.60425</v>
      </c>
      <c r="N346">
        <f>IF(Circularity=1,AVERAGE(M344:N344)*$F$339,M344*$F$339)</f>
        <v>18.516750000000002</v>
      </c>
      <c r="O346">
        <f>IF(Circularity=1,AVERAGE(N344:O344)*$F$339,N344*$F$339)</f>
        <v>11.429250000000001</v>
      </c>
      <c r="P346">
        <f>IF(Circularity=1,AVERAGE(O344:P344)*$F$339,O344*$F$339)</f>
        <v>4.341750000000002</v>
      </c>
      <c r="R346" t="str">
        <f ca="1">IF($R$5=1,_xlfn.FORMULATEXT(P346),"")</f>
        <v/>
      </c>
    </row>
    <row r="348" spans="3:18">
      <c r="C348" s="70" t="s">
        <v>159</v>
      </c>
    </row>
    <row r="349" spans="3:18">
      <c r="C349" s="70"/>
      <c r="D349" t="s">
        <v>241</v>
      </c>
      <c r="F349" s="92">
        <f>Assumptions!F95</f>
        <v>7.4999999999999997E-3</v>
      </c>
    </row>
    <row r="350" spans="3:18">
      <c r="C350" s="70"/>
    </row>
    <row r="351" spans="3:18">
      <c r="D351" t="s">
        <v>229</v>
      </c>
      <c r="E351" t="s">
        <v>126</v>
      </c>
      <c r="L351">
        <f>K353</f>
        <v>199.00000000000009</v>
      </c>
      <c r="M351">
        <f t="shared" ref="M351:P351" si="241">L353</f>
        <v>0</v>
      </c>
      <c r="N351">
        <f t="shared" si="241"/>
        <v>117.47996007297291</v>
      </c>
      <c r="O351">
        <f t="shared" si="241"/>
        <v>272.79079002774802</v>
      </c>
      <c r="P351">
        <f t="shared" si="241"/>
        <v>51.777470581804693</v>
      </c>
      <c r="R351" t="str">
        <f t="shared" ref="R351:R353" ca="1" si="242">IF($R$5=1,_xlfn.FORMULATEXT(P351),"")</f>
        <v/>
      </c>
    </row>
    <row r="352" spans="3:18">
      <c r="D352" t="s">
        <v>242</v>
      </c>
      <c r="E352" t="s">
        <v>126</v>
      </c>
      <c r="L352">
        <f>L71</f>
        <v>-199.00000000000011</v>
      </c>
      <c r="M352">
        <f>M71</f>
        <v>117.47996007297291</v>
      </c>
      <c r="N352">
        <f>N71</f>
        <v>155.3108299547751</v>
      </c>
      <c r="O352">
        <f>O71</f>
        <v>-221.01331944594332</v>
      </c>
      <c r="P352">
        <f>P71</f>
        <v>-51.777470581804693</v>
      </c>
      <c r="R352" t="str">
        <f t="shared" ca="1" si="242"/>
        <v/>
      </c>
    </row>
    <row r="353" spans="3:18">
      <c r="D353" s="70" t="s">
        <v>212</v>
      </c>
      <c r="E353" s="70" t="s">
        <v>126</v>
      </c>
      <c r="K353" s="111">
        <f>K73</f>
        <v>199.00000000000009</v>
      </c>
      <c r="L353" s="70">
        <f>SUM(L351:L352)</f>
        <v>0</v>
      </c>
      <c r="M353" s="70">
        <f t="shared" ref="M353:P353" si="243">SUM(M351:M352)</f>
        <v>117.47996007297291</v>
      </c>
      <c r="N353" s="70">
        <f t="shared" si="243"/>
        <v>272.79079002774802</v>
      </c>
      <c r="O353" s="70">
        <f t="shared" si="243"/>
        <v>51.777470581804693</v>
      </c>
      <c r="P353" s="70">
        <f t="shared" si="243"/>
        <v>0</v>
      </c>
      <c r="R353" t="str">
        <f t="shared" ca="1" si="242"/>
        <v/>
      </c>
    </row>
    <row r="355" spans="3:18">
      <c r="D355" t="s">
        <v>243</v>
      </c>
      <c r="L355">
        <f>IF(Circularity=1,AVERAGE(K353:L353)*$F$349,K353*$F$349)</f>
        <v>1.4925000000000006</v>
      </c>
      <c r="M355">
        <f>IF(Circularity=1,AVERAGE(L353:M353)*$F$349,L353*$F$349)</f>
        <v>0</v>
      </c>
      <c r="N355">
        <f>IF(Circularity=1,AVERAGE(M353:N353)*$F$349,M353*$F$349)</f>
        <v>0.8810997005472968</v>
      </c>
      <c r="O355">
        <f>IF(Circularity=1,AVERAGE(N353:O353)*$F$349,N353*$F$349)</f>
        <v>2.0459309252081099</v>
      </c>
      <c r="P355">
        <f>IF(Circularity=1,AVERAGE(O353:P353)*$F$349,O353*$F$349)</f>
        <v>0.3883310293635352</v>
      </c>
      <c r="R355" t="str">
        <f ca="1">IF($R$5=1,_xlfn.FORMULATEXT(P355),"")</f>
        <v/>
      </c>
    </row>
    <row r="357" spans="3:18">
      <c r="C357" s="70" t="s">
        <v>244</v>
      </c>
    </row>
    <row r="358" spans="3:18">
      <c r="D358" t="str">
        <f>D52</f>
        <v>Operating Cash Flow</v>
      </c>
      <c r="E358" t="s">
        <v>126</v>
      </c>
      <c r="L358">
        <f>L52</f>
        <v>106.98679336759744</v>
      </c>
      <c r="M358">
        <f>M52</f>
        <v>128.34731456539001</v>
      </c>
      <c r="N358">
        <f>N52</f>
        <v>156.20529129986073</v>
      </c>
      <c r="O358">
        <f>O52</f>
        <v>183.32439512179499</v>
      </c>
      <c r="P358">
        <f>P52</f>
        <v>201.24788762895633</v>
      </c>
      <c r="R358" t="str">
        <f t="shared" ref="R358:R367" ca="1" si="244">IF($R$5=1,_xlfn.FORMULATEXT(P358),"")</f>
        <v/>
      </c>
    </row>
    <row r="359" spans="3:18">
      <c r="D359" t="str">
        <f>D58</f>
        <v>Investing Cash Flow</v>
      </c>
      <c r="E359" t="s">
        <v>126</v>
      </c>
      <c r="L359">
        <f>L58</f>
        <v>-140</v>
      </c>
      <c r="M359">
        <f>M58</f>
        <v>-140</v>
      </c>
      <c r="N359">
        <f>N58</f>
        <v>-150</v>
      </c>
      <c r="O359">
        <f>O58</f>
        <v>-150</v>
      </c>
      <c r="P359">
        <f>P58</f>
        <v>-150</v>
      </c>
      <c r="R359" t="str">
        <f t="shared" ca="1" si="244"/>
        <v/>
      </c>
    </row>
    <row r="360" spans="3:18">
      <c r="D360" t="str">
        <f t="shared" ref="D360:D366" si="245">D62</f>
        <v>Variable Rate Long Term Debt Issuance / (Repayment)</v>
      </c>
      <c r="E360" t="s">
        <v>126</v>
      </c>
      <c r="L360">
        <f t="shared" ref="L360:P366" si="246">L62</f>
        <v>-135</v>
      </c>
      <c r="M360">
        <f t="shared" si="246"/>
        <v>-135</v>
      </c>
      <c r="N360">
        <f t="shared" si="246"/>
        <v>-135</v>
      </c>
      <c r="O360">
        <f t="shared" si="246"/>
        <v>-135</v>
      </c>
      <c r="P360">
        <f t="shared" si="246"/>
        <v>-82.700000000000045</v>
      </c>
      <c r="R360" t="str">
        <f t="shared" ca="1" si="244"/>
        <v/>
      </c>
    </row>
    <row r="361" spans="3:18">
      <c r="D361" t="str">
        <f t="shared" si="245"/>
        <v>Fixed Rate Long Term Debt Issuance / (Repayment)</v>
      </c>
      <c r="E361" t="s">
        <v>126</v>
      </c>
      <c r="L361">
        <f t="shared" si="246"/>
        <v>-50</v>
      </c>
      <c r="M361">
        <f t="shared" si="246"/>
        <v>-50</v>
      </c>
      <c r="N361">
        <f t="shared" si="246"/>
        <v>-50</v>
      </c>
      <c r="O361">
        <f t="shared" si="246"/>
        <v>-50</v>
      </c>
      <c r="P361">
        <f t="shared" si="246"/>
        <v>-24.599999999999994</v>
      </c>
      <c r="R361" t="str">
        <f t="shared" ca="1" si="244"/>
        <v/>
      </c>
    </row>
    <row r="362" spans="3:18">
      <c r="D362" t="str">
        <f t="shared" si="245"/>
        <v>Preferred Share Issuance / (Buy-Back)</v>
      </c>
      <c r="E362" t="s">
        <v>126</v>
      </c>
      <c r="L362">
        <f t="shared" si="246"/>
        <v>0</v>
      </c>
      <c r="M362">
        <f t="shared" si="246"/>
        <v>400</v>
      </c>
      <c r="N362">
        <f t="shared" si="246"/>
        <v>400</v>
      </c>
      <c r="O362">
        <f t="shared" si="246"/>
        <v>0</v>
      </c>
      <c r="P362">
        <f t="shared" si="246"/>
        <v>0</v>
      </c>
      <c r="R362" t="str">
        <f t="shared" ca="1" si="244"/>
        <v/>
      </c>
    </row>
    <row r="363" spans="3:18">
      <c r="D363" t="str">
        <f t="shared" si="245"/>
        <v>Common Share Issuance / (Buy-Back)</v>
      </c>
      <c r="E363" t="s">
        <v>126</v>
      </c>
      <c r="L363">
        <f t="shared" si="246"/>
        <v>-10</v>
      </c>
      <c r="M363">
        <f t="shared" si="246"/>
        <v>-10</v>
      </c>
      <c r="N363">
        <f t="shared" si="246"/>
        <v>0</v>
      </c>
      <c r="O363">
        <f t="shared" si="246"/>
        <v>0</v>
      </c>
      <c r="P363">
        <f t="shared" si="246"/>
        <v>0</v>
      </c>
      <c r="R363" t="str">
        <f t="shared" ca="1" si="244"/>
        <v/>
      </c>
    </row>
    <row r="364" spans="3:18">
      <c r="D364" t="str">
        <f t="shared" si="245"/>
        <v>Preferred Share Dividends</v>
      </c>
      <c r="E364" t="s">
        <v>126</v>
      </c>
      <c r="L364">
        <f t="shared" si="246"/>
        <v>0</v>
      </c>
      <c r="M364">
        <f t="shared" si="246"/>
        <v>-32</v>
      </c>
      <c r="N364">
        <f t="shared" si="246"/>
        <v>-64</v>
      </c>
      <c r="O364">
        <f t="shared" si="246"/>
        <v>-64</v>
      </c>
      <c r="P364">
        <f t="shared" si="246"/>
        <v>-64</v>
      </c>
      <c r="R364" t="str">
        <f t="shared" ca="1" si="244"/>
        <v/>
      </c>
    </row>
    <row r="365" spans="3:18">
      <c r="D365" t="str">
        <f t="shared" si="245"/>
        <v>Common Share Dividends</v>
      </c>
      <c r="E365" t="s">
        <v>126</v>
      </c>
      <c r="L365">
        <f t="shared" si="246"/>
        <v>-9.6756974394230699</v>
      </c>
      <c r="M365">
        <f t="shared" si="246"/>
        <v>-5.1784504205915516</v>
      </c>
      <c r="N365">
        <f t="shared" si="246"/>
        <v>-1.8944613450856416</v>
      </c>
      <c r="O365">
        <f t="shared" si="246"/>
        <v>-5.3377145677383293</v>
      </c>
      <c r="P365">
        <f t="shared" si="246"/>
        <v>-7.0554912166579262</v>
      </c>
      <c r="R365" t="str">
        <f t="shared" ca="1" si="244"/>
        <v/>
      </c>
    </row>
    <row r="366" spans="3:18">
      <c r="D366" t="str">
        <f t="shared" si="245"/>
        <v>Other</v>
      </c>
      <c r="E366" t="s">
        <v>126</v>
      </c>
      <c r="L366">
        <f t="shared" si="246"/>
        <v>0</v>
      </c>
      <c r="M366">
        <f t="shared" si="246"/>
        <v>0</v>
      </c>
      <c r="N366">
        <f t="shared" si="246"/>
        <v>0</v>
      </c>
      <c r="O366">
        <f t="shared" si="246"/>
        <v>0</v>
      </c>
      <c r="P366">
        <f t="shared" si="246"/>
        <v>0</v>
      </c>
      <c r="R366" t="str">
        <f t="shared" ca="1" si="244"/>
        <v/>
      </c>
    </row>
    <row r="367" spans="3:18" s="70" customFormat="1">
      <c r="D367" s="70" t="s">
        <v>245</v>
      </c>
      <c r="E367" s="70" t="s">
        <v>126</v>
      </c>
      <c r="L367" s="70">
        <f>SUM(L358:L366)</f>
        <v>-237.68890407182562</v>
      </c>
      <c r="M367" s="70">
        <f t="shared" ref="M367:P367" si="247">SUM(M358:M366)</f>
        <v>156.16886414479845</v>
      </c>
      <c r="N367" s="70">
        <f t="shared" si="247"/>
        <v>155.3108299547751</v>
      </c>
      <c r="O367" s="70">
        <f t="shared" si="247"/>
        <v>-221.01331944594332</v>
      </c>
      <c r="P367" s="70">
        <f t="shared" si="247"/>
        <v>-127.10760358770163</v>
      </c>
      <c r="R367" t="str">
        <f t="shared" ca="1" si="244"/>
        <v/>
      </c>
    </row>
    <row r="369" spans="3:18">
      <c r="C369" s="70" t="s">
        <v>246</v>
      </c>
    </row>
    <row r="370" spans="3:18">
      <c r="C370" s="70"/>
      <c r="D370" t="str">
        <f>Assumptions!D88</f>
        <v>Revolver</v>
      </c>
      <c r="E370" t="str">
        <f>Assumptions!E88</f>
        <v>%</v>
      </c>
      <c r="F370" s="92">
        <f>Assumptions!F88</f>
        <v>5.5E-2</v>
      </c>
    </row>
    <row r="371" spans="3:18">
      <c r="C371" s="70"/>
    </row>
    <row r="372" spans="3:18">
      <c r="D372" t="s">
        <v>229</v>
      </c>
      <c r="E372" t="s">
        <v>126</v>
      </c>
      <c r="L372">
        <f>K374</f>
        <v>0</v>
      </c>
      <c r="M372">
        <f t="shared" ref="M372:P372" si="248">L374</f>
        <v>38.688904071825533</v>
      </c>
      <c r="N372">
        <f t="shared" si="248"/>
        <v>0</v>
      </c>
      <c r="O372">
        <f t="shared" si="248"/>
        <v>0</v>
      </c>
      <c r="P372">
        <f t="shared" si="248"/>
        <v>0</v>
      </c>
      <c r="R372" t="str">
        <f t="shared" ref="R372:R374" ca="1" si="249">IF($R$5=1,_xlfn.FORMULATEXT(P372),"")</f>
        <v/>
      </c>
    </row>
    <row r="373" spans="3:18">
      <c r="D373" t="s">
        <v>267</v>
      </c>
      <c r="E373" t="s">
        <v>126</v>
      </c>
      <c r="L373">
        <f>-MIN(L367+L351,L372)</f>
        <v>38.688904071825533</v>
      </c>
      <c r="M373">
        <f>-MIN(M367+M351,M372)</f>
        <v>-38.688904071825533</v>
      </c>
      <c r="N373">
        <f>-MIN(N367+N351,N372)</f>
        <v>0</v>
      </c>
      <c r="O373">
        <f>-MIN(O367+O351,O372)</f>
        <v>0</v>
      </c>
      <c r="P373">
        <f>-MIN(P367+P351,P372)</f>
        <v>75.33013300589694</v>
      </c>
      <c r="R373" t="str">
        <f t="shared" ca="1" si="249"/>
        <v/>
      </c>
    </row>
    <row r="374" spans="3:18">
      <c r="D374" s="70" t="s">
        <v>237</v>
      </c>
      <c r="E374" s="70" t="s">
        <v>126</v>
      </c>
      <c r="F374" s="70"/>
      <c r="G374" s="70"/>
      <c r="H374" s="70"/>
      <c r="I374" s="70"/>
      <c r="J374" s="70"/>
      <c r="K374" s="111">
        <f>K94</f>
        <v>0</v>
      </c>
      <c r="L374" s="70">
        <f>SUM(L372:L373)</f>
        <v>38.688904071825533</v>
      </c>
      <c r="M374" s="70">
        <f t="shared" ref="M374:P374" si="250">SUM(M372:M373)</f>
        <v>0</v>
      </c>
      <c r="N374" s="70">
        <f t="shared" si="250"/>
        <v>0</v>
      </c>
      <c r="O374" s="70">
        <f t="shared" si="250"/>
        <v>0</v>
      </c>
      <c r="P374" s="70">
        <f t="shared" si="250"/>
        <v>75.33013300589694</v>
      </c>
      <c r="R374" t="str">
        <f t="shared" ca="1" si="249"/>
        <v/>
      </c>
    </row>
    <row r="376" spans="3:18">
      <c r="D376" t="s">
        <v>238</v>
      </c>
      <c r="E376" t="s">
        <v>126</v>
      </c>
      <c r="L376">
        <f>IF(Circularity=1,AVERAGE(K374:L374)*$F$370,K374*$F$370)</f>
        <v>0</v>
      </c>
      <c r="M376">
        <f>IF(Circularity=1,AVERAGE(L374:M374)*$F$370,L374*$F$370)</f>
        <v>2.1278897239504042</v>
      </c>
      <c r="N376">
        <f>IF(Circularity=1,AVERAGE(M374:N374)*$F$370,M374*$F$370)</f>
        <v>0</v>
      </c>
      <c r="O376">
        <f>IF(Circularity=1,AVERAGE(N374:O374)*$F$370,N374*$F$370)</f>
        <v>0</v>
      </c>
      <c r="P376">
        <f>IF(Circularity=1,AVERAGE(O374:P374)*$F$370,O374*$F$370)</f>
        <v>0</v>
      </c>
      <c r="R376" t="str">
        <f ca="1">IF($R$5=1,_xlfn.FORMULATEXT(P376),"")</f>
        <v/>
      </c>
    </row>
    <row r="378" spans="3:18">
      <c r="C378" s="70" t="s">
        <v>14</v>
      </c>
    </row>
    <row r="379" spans="3:18">
      <c r="D379" t="s">
        <v>247</v>
      </c>
      <c r="E379" t="s">
        <v>126</v>
      </c>
      <c r="L379">
        <f>L336</f>
        <v>14.599</v>
      </c>
      <c r="M379">
        <f>M336</f>
        <v>11.349</v>
      </c>
      <c r="N379">
        <f>N336</f>
        <v>8.0990000000000002</v>
      </c>
      <c r="O379">
        <f>O336</f>
        <v>4.8490000000000002</v>
      </c>
      <c r="P379">
        <f>P336</f>
        <v>1.5989999999999998</v>
      </c>
      <c r="R379" t="str">
        <f t="shared" ref="R379:R383" ca="1" si="251">IF($R$5=1,_xlfn.FORMULATEXT(P379),"")</f>
        <v/>
      </c>
    </row>
    <row r="380" spans="3:18">
      <c r="D380" t="s">
        <v>248</v>
      </c>
      <c r="E380" t="s">
        <v>126</v>
      </c>
      <c r="L380">
        <f>L346</f>
        <v>32.691749999999999</v>
      </c>
      <c r="M380">
        <f>M346</f>
        <v>25.60425</v>
      </c>
      <c r="N380">
        <f>N346</f>
        <v>18.516750000000002</v>
      </c>
      <c r="O380">
        <f>O346</f>
        <v>11.429250000000001</v>
      </c>
      <c r="P380">
        <f>P346</f>
        <v>4.341750000000002</v>
      </c>
      <c r="R380" t="str">
        <f t="shared" ca="1" si="251"/>
        <v/>
      </c>
    </row>
    <row r="381" spans="3:18">
      <c r="D381" t="s">
        <v>249</v>
      </c>
      <c r="E381" t="s">
        <v>126</v>
      </c>
      <c r="L381">
        <f>L376</f>
        <v>0</v>
      </c>
      <c r="M381">
        <f t="shared" ref="M381:P381" si="252">M376</f>
        <v>2.1278897239504042</v>
      </c>
      <c r="N381">
        <f t="shared" si="252"/>
        <v>0</v>
      </c>
      <c r="O381">
        <f t="shared" si="252"/>
        <v>0</v>
      </c>
      <c r="P381">
        <f t="shared" si="252"/>
        <v>0</v>
      </c>
      <c r="R381" t="str">
        <f t="shared" ca="1" si="251"/>
        <v/>
      </c>
    </row>
    <row r="382" spans="3:18">
      <c r="D382" t="s">
        <v>250</v>
      </c>
      <c r="E382" t="s">
        <v>126</v>
      </c>
      <c r="L382">
        <f>-L355</f>
        <v>-1.4925000000000006</v>
      </c>
      <c r="M382">
        <f>-M355</f>
        <v>0</v>
      </c>
      <c r="N382">
        <f>-N355</f>
        <v>-0.8810997005472968</v>
      </c>
      <c r="O382">
        <f>-O355</f>
        <v>-2.0459309252081099</v>
      </c>
      <c r="P382">
        <f>-P355</f>
        <v>-0.3883310293635352</v>
      </c>
      <c r="R382" t="str">
        <f t="shared" ca="1" si="251"/>
        <v/>
      </c>
    </row>
    <row r="383" spans="3:18" s="70" customFormat="1">
      <c r="D383" s="70" t="s">
        <v>14</v>
      </c>
      <c r="E383" s="70" t="s">
        <v>126</v>
      </c>
      <c r="L383" s="70">
        <f>SUM(L379:L382)</f>
        <v>45.798250000000003</v>
      </c>
      <c r="M383" s="70">
        <f t="shared" ref="M383:P383" si="253">SUM(M379:M382)</f>
        <v>39.0811397239504</v>
      </c>
      <c r="N383" s="70">
        <f t="shared" si="253"/>
        <v>25.734650299452706</v>
      </c>
      <c r="O383" s="70">
        <f t="shared" si="253"/>
        <v>14.23231907479189</v>
      </c>
      <c r="P383" s="70">
        <f t="shared" si="253"/>
        <v>5.5524189706364657</v>
      </c>
      <c r="R383" t="str">
        <f t="shared" ca="1" si="251"/>
        <v/>
      </c>
    </row>
  </sheetData>
  <conditionalFormatting sqref="I3:J3">
    <cfRule type="expression" dxfId="1" priority="1">
      <formula>BalCheck&lt;&gt;0</formula>
    </cfRule>
  </conditionalFormatting>
  <dataValidations disablePrompts="1" count="1">
    <dataValidation type="list" allowBlank="1" showInputMessage="1" showErrorMessage="1" sqref="R5" xr:uid="{BBFEAAA4-CF18-4ED7-B74E-EC3884D30D84}">
      <formula1>"1,2"</formula1>
    </dataValidation>
  </dataValidations>
  <printOptions headings="1"/>
  <pageMargins left="0.7" right="0.7" top="0.75" bottom="0.75" header="0.3" footer="0.3"/>
  <pageSetup scale="57" fitToHeight="0" orientation="landscape" r:id="rId1"/>
  <headerFooter>
    <oddFooter>&amp;LXcel Stores &amp; Properties
Printed on &amp;D @ &amp;T&amp;CPage &amp;P of &amp;N&amp;RSheet Name: &amp;A
File Name: &amp;F</oddFooter>
  </headerFooter>
  <rowBreaks count="7" manualBreakCount="7">
    <brk id="42" max="16383" man="1"/>
    <brk id="73" max="16383" man="1"/>
    <brk id="115" max="16383" man="1"/>
    <brk id="178" max="16383" man="1"/>
    <brk id="247" max="16383" man="1"/>
    <brk id="298" max="16383" man="1"/>
    <brk id="324" max="16383" man="1"/>
  </rowBreaks>
  <colBreaks count="3" manualBreakCount="3">
    <brk id="1" max="1048575" man="1"/>
    <brk id="2" max="1048575" man="1"/>
    <brk id="3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3363" r:id="rId4" name="Drop Down 51">
              <controlPr defaultSize="0" autoLine="0" autoPict="0">
                <anchor moveWithCells="1">
                  <from>
                    <xdr:col>12</xdr:col>
                    <xdr:colOff>241402</xdr:colOff>
                    <xdr:row>1</xdr:row>
                    <xdr:rowOff>21946</xdr:rowOff>
                  </from>
                  <to>
                    <xdr:col>13</xdr:col>
                    <xdr:colOff>160934</xdr:colOff>
                    <xdr:row>2</xdr:row>
                    <xdr:rowOff>21946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A95D9-739D-49B0-96FB-D7E83C25166C}">
  <sheetPr>
    <pageSetUpPr fitToPage="1"/>
  </sheetPr>
  <dimension ref="A1:P5"/>
  <sheetViews>
    <sheetView zoomScaleNormal="100" workbookViewId="0">
      <pane ySplit="5" topLeftCell="A6" activePane="bottomLeft" state="frozen"/>
      <selection activeCell="F13" sqref="F13"/>
      <selection pane="bottomLeft" activeCell="A6" sqref="A6"/>
    </sheetView>
  </sheetViews>
  <sheetFormatPr defaultRowHeight="12.7"/>
  <cols>
    <col min="1" max="1" width="5.21875" customWidth="1"/>
    <col min="2" max="2" width="4.21875" customWidth="1"/>
    <col min="3" max="3" width="5.21875" customWidth="1"/>
    <col min="4" max="4" width="37.77734375" customWidth="1"/>
    <col min="5" max="5" width="5.77734375" customWidth="1"/>
    <col min="6" max="6" width="12.21875" customWidth="1"/>
    <col min="7" max="8" width="4.21875" customWidth="1"/>
  </cols>
  <sheetData>
    <row r="1" spans="1:16">
      <c r="A1" s="79"/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</row>
    <row r="2" spans="1:16">
      <c r="A2" s="79"/>
      <c r="B2" s="79" t="str">
        <f>Cover!B4</f>
        <v>Xcel Stores &amp; Properties</v>
      </c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</row>
    <row r="3" spans="1:16">
      <c r="A3" s="79"/>
      <c r="B3" s="79"/>
      <c r="C3" s="79" t="s">
        <v>251</v>
      </c>
      <c r="D3" s="79"/>
      <c r="E3" s="79"/>
      <c r="F3" s="79"/>
      <c r="G3" s="79"/>
      <c r="H3" s="79"/>
      <c r="I3" s="80" t="str">
        <f>IF(BalCheck=0,"Bal check: OK","ERROR")</f>
        <v>Bal check: OK</v>
      </c>
      <c r="J3" s="81"/>
      <c r="K3" s="80" t="str" cm="1">
        <f t="array" ref="K3">"Scenario: "&amp;INDEX(S_List,S_Scenario)</f>
        <v>Scenario: Base Case</v>
      </c>
      <c r="L3" s="81"/>
      <c r="M3" s="79"/>
      <c r="N3" s="79"/>
      <c r="O3" s="79"/>
      <c r="P3" s="79"/>
    </row>
    <row r="4" spans="1:16">
      <c r="I4" t="s">
        <v>79</v>
      </c>
      <c r="J4" t="s">
        <v>79</v>
      </c>
      <c r="K4" t="s">
        <v>79</v>
      </c>
      <c r="L4" t="s">
        <v>80</v>
      </c>
      <c r="M4" t="s">
        <v>80</v>
      </c>
      <c r="N4" t="s">
        <v>80</v>
      </c>
      <c r="O4" t="s">
        <v>80</v>
      </c>
      <c r="P4" t="s">
        <v>80</v>
      </c>
    </row>
    <row r="5" spans="1:16">
      <c r="E5" t="s">
        <v>81</v>
      </c>
      <c r="F5" t="s">
        <v>82</v>
      </c>
      <c r="I5" s="83">
        <f>Historical!G7</f>
        <v>2020</v>
      </c>
      <c r="J5" s="83">
        <f>I5+1</f>
        <v>2021</v>
      </c>
      <c r="K5" s="83">
        <f t="shared" ref="K5:P5" si="0">J5+1</f>
        <v>2022</v>
      </c>
      <c r="L5" s="84">
        <f t="shared" si="0"/>
        <v>2023</v>
      </c>
      <c r="M5" s="84">
        <f t="shared" si="0"/>
        <v>2024</v>
      </c>
      <c r="N5" s="84">
        <f t="shared" si="0"/>
        <v>2025</v>
      </c>
      <c r="O5" s="84">
        <f t="shared" si="0"/>
        <v>2026</v>
      </c>
      <c r="P5" s="84">
        <f t="shared" si="0"/>
        <v>2027</v>
      </c>
    </row>
  </sheetData>
  <conditionalFormatting sqref="I3:J3">
    <cfRule type="expression" dxfId="0" priority="1">
      <formula>BalCheck&lt;&gt;0</formula>
    </cfRule>
  </conditionalFormatting>
  <pageMargins left="0.7" right="0.7" top="0.75" bottom="0.75" header="0.3" footer="0.3"/>
  <pageSetup scale="84" fitToHeight="0" orientation="landscape" r:id="rId1"/>
  <headerFooter>
    <oddFooter>&amp;LXcel Stores &amp; Properties
Printed on &amp;D @ &amp;T&amp;CPage &amp;P of &amp;N&amp;RSheet Name: &amp;A
File Name: &amp;F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05972A69AB9064D95049B970FA150B6" ma:contentTypeVersion="17" ma:contentTypeDescription="Create a new document." ma:contentTypeScope="" ma:versionID="6fff2d11003570a2730a3ed3d767a9c4">
  <xsd:schema xmlns:xsd="http://www.w3.org/2001/XMLSchema" xmlns:xs="http://www.w3.org/2001/XMLSchema" xmlns:p="http://schemas.microsoft.com/office/2006/metadata/properties" xmlns:ns2="30fb3514-57f3-43d7-8a04-2a0a52bb0f40" xmlns:ns3="0e11384c-db64-4a7f-b983-5ea50ecd490d" targetNamespace="http://schemas.microsoft.com/office/2006/metadata/properties" ma:root="true" ma:fieldsID="673d17013765225982b8c08c4d033437" ns2:_="" ns3:_="">
    <xsd:import namespace="30fb3514-57f3-43d7-8a04-2a0a52bb0f40"/>
    <xsd:import namespace="0e11384c-db64-4a7f-b983-5ea50ecd49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fb3514-57f3-43d7-8a04-2a0a52bb0f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a95febbe-8800-4c16-a6d5-fe9535d6c59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11384c-db64-4a7f-b983-5ea50ecd490d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0b2d40c2-0fae-40a6-8be7-1aa6524c18c3}" ma:internalName="TaxCatchAll" ma:showField="CatchAllData" ma:web="0e11384c-db64-4a7f-b983-5ea50ecd49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0fb3514-57f3-43d7-8a04-2a0a52bb0f40">
      <Terms xmlns="http://schemas.microsoft.com/office/infopath/2007/PartnerControls"/>
    </lcf76f155ced4ddcb4097134ff3c332f>
    <TaxCatchAll xmlns="0e11384c-db64-4a7f-b983-5ea50ecd490d" xsi:nil="true"/>
  </documentManagement>
</p:properties>
</file>

<file path=customXml/itemProps1.xml><?xml version="1.0" encoding="utf-8"?>
<ds:datastoreItem xmlns:ds="http://schemas.openxmlformats.org/officeDocument/2006/customXml" ds:itemID="{188FFC2F-4D0C-46A4-8B58-8C2EDFDB5C1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8F1B0D6-B90D-472D-8910-2421D8CE3A9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0fb3514-57f3-43d7-8a04-2a0a52bb0f40"/>
    <ds:schemaRef ds:uri="0e11384c-db64-4a7f-b983-5ea50ecd49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2B8A901-B747-4988-9D1A-771E9A584FBF}">
  <ds:schemaRefs>
    <ds:schemaRef ds:uri="http://purl.org/dc/elements/1.1/"/>
    <ds:schemaRef ds:uri="http://schemas.microsoft.com/office/2006/documentManagement/types"/>
    <ds:schemaRef ds:uri="0e11384c-db64-4a7f-b983-5ea50ecd490d"/>
    <ds:schemaRef ds:uri="http://purl.org/dc/dcmitype/"/>
    <ds:schemaRef ds:uri="30fb3514-57f3-43d7-8a04-2a0a52bb0f40"/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schemas.microsoft.com/office/infopath/2007/PartnerControl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11</vt:i4>
      </vt:variant>
    </vt:vector>
  </HeadingPairs>
  <TitlesOfParts>
    <vt:vector size="18" baseType="lpstr">
      <vt:lpstr>Cover</vt:lpstr>
      <vt:lpstr>Historical</vt:lpstr>
      <vt:lpstr>Summary</vt:lpstr>
      <vt:lpstr>Assumptions</vt:lpstr>
      <vt:lpstr>Scenario</vt:lpstr>
      <vt:lpstr>Model</vt:lpstr>
      <vt:lpstr>Template</vt:lpstr>
      <vt:lpstr>BalCheck</vt:lpstr>
      <vt:lpstr>Circularity</vt:lpstr>
      <vt:lpstr>Million</vt:lpstr>
      <vt:lpstr>Cover!Print_Area</vt:lpstr>
      <vt:lpstr>Assumptions!Print_Titles</vt:lpstr>
      <vt:lpstr>Model!Print_Titles</vt:lpstr>
      <vt:lpstr>Scenario!Print_Titles</vt:lpstr>
      <vt:lpstr>Summary!Print_Titles</vt:lpstr>
      <vt:lpstr>Template!Print_Titles</vt:lpstr>
      <vt:lpstr>S_List</vt:lpstr>
      <vt:lpstr>S_Scenario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Dbrown</dc:creator>
  <cp:keywords/>
  <dc:description/>
  <cp:lastModifiedBy>abdul samad</cp:lastModifiedBy>
  <cp:revision/>
  <cp:lastPrinted>2023-07-11T13:46:46Z</cp:lastPrinted>
  <dcterms:created xsi:type="dcterms:W3CDTF">2023-06-13T12:41:08Z</dcterms:created>
  <dcterms:modified xsi:type="dcterms:W3CDTF">2026-02-25T13:05:13Z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0x010100005972A69AB9064D95049B970FA150B6</vt:lpwstr>
  </property>
  <property fmtid="{D5CDD505-2E9C-101B-9397-08002B2CF9AE}" pid="3" name="MediaServiceImageTags">
    <vt:lpwstr/>
  </property>
</Properties>
</file>